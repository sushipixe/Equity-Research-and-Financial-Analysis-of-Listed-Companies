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sus\Downloads\"/>
    </mc:Choice>
  </mc:AlternateContent>
  <xr:revisionPtr revIDLastSave="0" documentId="13_ncr:1_{CFA5CA24-9501-4068-8E65-315882EA2DA9}" xr6:coauthVersionLast="47" xr6:coauthVersionMax="47" xr10:uidLastSave="{00000000-0000-0000-0000-000000000000}"/>
  <bookViews>
    <workbookView xWindow="-108" yWindow="-108" windowWidth="23256" windowHeight="12456" tabRatio="998" firstSheet="2" activeTab="9" xr2:uid="{00000000-000D-0000-FFFF-FFFF00000000}"/>
  </bookViews>
  <sheets>
    <sheet name="Intrinsic Values" sheetId="21" r:id="rId1"/>
    <sheet name="FCFE (H) " sheetId="17" r:id="rId2"/>
    <sheet name="FCFE(L)" sheetId="19" r:id="rId3"/>
    <sheet name="DCF " sheetId="20" r:id="rId4"/>
    <sheet name="Ben Graham " sheetId="13" r:id="rId5"/>
    <sheet name="Profit and loss Detailed-BRT " sheetId="9" r:id="rId6"/>
    <sheet name="CashFlow consolidated" sheetId="10" r:id="rId7"/>
    <sheet name="Basic Sheet" sheetId="7" r:id="rId8"/>
    <sheet name="Dhandho model" sheetId="11" r:id="rId9"/>
    <sheet name="FBTA - TMV - CMMM" sheetId="12" r:id="rId10"/>
    <sheet name="Expected Returns Model" sheetId="14" r:id="rId11"/>
    <sheet name="Data Sheet" sheetId="6" r:id="rId12"/>
    <sheet name="Quarters" sheetId="3" r:id="rId13"/>
    <sheet name="Profit &amp; Loss" sheetId="1" r:id="rId14"/>
    <sheet name="Balance Sheet" sheetId="2" r:id="rId15"/>
    <sheet name="Cash Flow" sheetId="4" r:id="rId16"/>
  </sheets>
  <externalReferences>
    <externalReference r:id="rId17"/>
    <externalReference r:id="rId18"/>
  </externalReferences>
  <definedNames>
    <definedName name="UPDATE" localSheetId="3">'[1]Data Sheet'!$E$1</definedName>
    <definedName name="UPDATE" localSheetId="1">'[2]Data Sheet'!$E$1</definedName>
    <definedName name="UPDATE" localSheetId="2">'[2]Data Sheet'!$E$1</definedName>
    <definedName name="UPDATE" localSheetId="0">'[1]Data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21" l="1"/>
  <c r="B6" i="21"/>
  <c r="C9" i="21"/>
  <c r="B9" i="21"/>
  <c r="F15" i="19"/>
  <c r="F15" i="17"/>
  <c r="A2" i="21"/>
  <c r="A2" i="9" l="1"/>
  <c r="B14" i="21"/>
  <c r="F21" i="19"/>
  <c r="C25" i="19"/>
  <c r="C2" i="19"/>
  <c r="F19" i="19"/>
  <c r="F18" i="19"/>
  <c r="F17" i="19"/>
  <c r="C14" i="19"/>
  <c r="D2" i="17"/>
  <c r="C2" i="17"/>
  <c r="F18" i="17"/>
  <c r="C14" i="17"/>
  <c r="A2" i="20" l="1"/>
  <c r="F21" i="17"/>
  <c r="F19" i="17"/>
  <c r="H2" i="17" s="1"/>
  <c r="H3" i="17" s="1"/>
  <c r="F17" i="17"/>
  <c r="C25" i="17"/>
  <c r="C20" i="17"/>
  <c r="G32" i="20"/>
  <c r="B32" i="20"/>
  <c r="B30" i="20"/>
  <c r="G30" i="20" s="1"/>
  <c r="B4" i="20"/>
  <c r="G14" i="20" s="1"/>
  <c r="C20" i="19"/>
  <c r="B11" i="20"/>
  <c r="C5" i="21"/>
  <c r="B5" i="21"/>
  <c r="C4" i="21"/>
  <c r="B4" i="21"/>
  <c r="C23" i="20"/>
  <c r="C22" i="20"/>
  <c r="C21" i="20"/>
  <c r="C20" i="20"/>
  <c r="C19" i="20"/>
  <c r="C18" i="20"/>
  <c r="C17" i="20"/>
  <c r="C16" i="20"/>
  <c r="C15" i="20"/>
  <c r="C14" i="20"/>
  <c r="B14" i="20"/>
  <c r="D14" i="20" s="1"/>
  <c r="I27" i="20"/>
  <c r="E2" i="19"/>
  <c r="F2" i="19"/>
  <c r="E3" i="19"/>
  <c r="F3" i="19"/>
  <c r="E4" i="19"/>
  <c r="F4" i="19"/>
  <c r="E5" i="19"/>
  <c r="F5" i="19" s="1"/>
  <c r="E6" i="19"/>
  <c r="F6" i="19"/>
  <c r="E7" i="19"/>
  <c r="F7" i="19"/>
  <c r="E8" i="19"/>
  <c r="F8" i="19"/>
  <c r="E9" i="19"/>
  <c r="F9" i="19"/>
  <c r="E10" i="19"/>
  <c r="F10" i="19" s="1"/>
  <c r="E11" i="19"/>
  <c r="F11" i="19" s="1"/>
  <c r="E12" i="19"/>
  <c r="F12" i="19" s="1"/>
  <c r="D2" i="19"/>
  <c r="H2" i="19"/>
  <c r="E2" i="17"/>
  <c r="F2" i="17"/>
  <c r="C3" i="17"/>
  <c r="D3" i="17"/>
  <c r="D4" i="17" s="1"/>
  <c r="D5" i="17" s="1"/>
  <c r="D6" i="17" s="1"/>
  <c r="D7" i="17" s="1"/>
  <c r="D8" i="17" s="1"/>
  <c r="D9" i="17" s="1"/>
  <c r="D10" i="17" s="1"/>
  <c r="D11" i="17" s="1"/>
  <c r="D12" i="17" s="1"/>
  <c r="E3" i="17"/>
  <c r="F3" i="17"/>
  <c r="E4" i="17"/>
  <c r="F4" i="17"/>
  <c r="E5" i="17"/>
  <c r="F5" i="17" s="1"/>
  <c r="E6" i="17"/>
  <c r="F6" i="17"/>
  <c r="E7" i="17"/>
  <c r="F7" i="17" s="1"/>
  <c r="E8" i="17"/>
  <c r="F8" i="17" s="1"/>
  <c r="E9" i="17"/>
  <c r="F9" i="17"/>
  <c r="E10" i="17"/>
  <c r="F10" i="17"/>
  <c r="E11" i="17"/>
  <c r="F11" i="17" s="1"/>
  <c r="E12" i="17"/>
  <c r="F12" i="17" s="1"/>
  <c r="G2" i="19"/>
  <c r="I14" i="20" l="1"/>
  <c r="G15" i="20"/>
  <c r="G16" i="20" s="1"/>
  <c r="G17" i="20"/>
  <c r="I16" i="20"/>
  <c r="B15" i="20"/>
  <c r="I15" i="20"/>
  <c r="C3" i="19"/>
  <c r="C16" i="19"/>
  <c r="D3" i="19" s="1"/>
  <c r="I3" i="17"/>
  <c r="J3" i="17" s="1"/>
  <c r="H4" i="17"/>
  <c r="C4" i="17"/>
  <c r="G2" i="17"/>
  <c r="G3" i="17" s="1"/>
  <c r="D15" i="20" l="1"/>
  <c r="B16" i="20"/>
  <c r="I17" i="20"/>
  <c r="G18" i="20"/>
  <c r="D4" i="19"/>
  <c r="D5" i="19" s="1"/>
  <c r="D6" i="19" s="1"/>
  <c r="D7" i="19" s="1"/>
  <c r="D8" i="19" s="1"/>
  <c r="D9" i="19" s="1"/>
  <c r="D10" i="19" s="1"/>
  <c r="D11" i="19" s="1"/>
  <c r="D12" i="19" s="1"/>
  <c r="H3" i="19"/>
  <c r="G3" i="19"/>
  <c r="C4" i="19"/>
  <c r="K3" i="17"/>
  <c r="L3" i="17" s="1"/>
  <c r="G4" i="17"/>
  <c r="C5" i="17"/>
  <c r="I4" i="17"/>
  <c r="J4" i="17" s="1"/>
  <c r="H5" i="17"/>
  <c r="I26" i="20" l="1"/>
  <c r="G19" i="20"/>
  <c r="I18" i="20"/>
  <c r="B17" i="20"/>
  <c r="D16" i="20"/>
  <c r="K3" i="19"/>
  <c r="G4" i="19"/>
  <c r="I3" i="19"/>
  <c r="J3" i="19" s="1"/>
  <c r="H4" i="19"/>
  <c r="C5" i="19"/>
  <c r="H6" i="17"/>
  <c r="I5" i="17"/>
  <c r="J5" i="17" s="1"/>
  <c r="C6" i="17"/>
  <c r="K4" i="17"/>
  <c r="L4" i="17" s="1"/>
  <c r="M4" i="17" s="1"/>
  <c r="G5" i="17"/>
  <c r="M3" i="17"/>
  <c r="I19" i="20" l="1"/>
  <c r="G20" i="20"/>
  <c r="D17" i="20"/>
  <c r="B18" i="20"/>
  <c r="H5" i="19"/>
  <c r="I4" i="19"/>
  <c r="J4" i="19" s="1"/>
  <c r="K4" i="19"/>
  <c r="L4" i="19" s="1"/>
  <c r="M4" i="19" s="1"/>
  <c r="G5" i="19"/>
  <c r="L3" i="19"/>
  <c r="C6" i="19"/>
  <c r="K5" i="17"/>
  <c r="L5" i="17" s="1"/>
  <c r="G6" i="17"/>
  <c r="C7" i="17"/>
  <c r="H7" i="17"/>
  <c r="I6" i="17"/>
  <c r="J6" i="17" s="1"/>
  <c r="M5" i="17" l="1"/>
  <c r="D5" i="20"/>
  <c r="D4" i="20"/>
  <c r="B19" i="20"/>
  <c r="D18" i="20"/>
  <c r="D8" i="20"/>
  <c r="D7" i="20"/>
  <c r="D6" i="20"/>
  <c r="I20" i="20"/>
  <c r="G21" i="20"/>
  <c r="H6" i="19"/>
  <c r="I5" i="19"/>
  <c r="J5" i="19" s="1"/>
  <c r="C7" i="19"/>
  <c r="M3" i="19"/>
  <c r="K5" i="19"/>
  <c r="G6" i="19"/>
  <c r="H8" i="17"/>
  <c r="I7" i="17"/>
  <c r="J7" i="17" s="1"/>
  <c r="G7" i="17"/>
  <c r="K6" i="17"/>
  <c r="L6" i="17" s="1"/>
  <c r="M6" i="17" s="1"/>
  <c r="C8" i="17"/>
  <c r="L5" i="19" l="1"/>
  <c r="G22" i="20"/>
  <c r="I21" i="20"/>
  <c r="B20" i="20"/>
  <c r="D19" i="20"/>
  <c r="G7" i="19"/>
  <c r="K6" i="19"/>
  <c r="C8" i="19"/>
  <c r="H7" i="19"/>
  <c r="I6" i="19"/>
  <c r="J6" i="19" s="1"/>
  <c r="G8" i="17"/>
  <c r="K7" i="17"/>
  <c r="L7" i="17" s="1"/>
  <c r="M7" i="17" s="1"/>
  <c r="C9" i="17"/>
  <c r="H9" i="17"/>
  <c r="I8" i="17"/>
  <c r="J8" i="17" s="1"/>
  <c r="M5" i="19" l="1"/>
  <c r="L6" i="19"/>
  <c r="M6" i="19" s="1"/>
  <c r="B21" i="20"/>
  <c r="D20" i="20"/>
  <c r="G23" i="20"/>
  <c r="I22" i="20"/>
  <c r="H8" i="19"/>
  <c r="I7" i="19"/>
  <c r="J7" i="19" s="1"/>
  <c r="G8" i="19"/>
  <c r="K7" i="19"/>
  <c r="C9" i="19"/>
  <c r="H10" i="17"/>
  <c r="I9" i="17"/>
  <c r="J9" i="17" s="1"/>
  <c r="C10" i="17"/>
  <c r="G9" i="17"/>
  <c r="K8" i="17"/>
  <c r="L8" i="17" s="1"/>
  <c r="M8" i="17" s="1"/>
  <c r="G26" i="20" l="1"/>
  <c r="G28" i="20" s="1"/>
  <c r="I23" i="20"/>
  <c r="G27" i="20" s="1"/>
  <c r="B22" i="20"/>
  <c r="D21" i="20"/>
  <c r="C10" i="19"/>
  <c r="H9" i="19"/>
  <c r="I8" i="19"/>
  <c r="J8" i="19" s="1"/>
  <c r="L7" i="19"/>
  <c r="M7" i="19" s="1"/>
  <c r="G9" i="19"/>
  <c r="K8" i="19"/>
  <c r="L8" i="19" s="1"/>
  <c r="M8" i="19" s="1"/>
  <c r="C11" i="17"/>
  <c r="G10" i="17"/>
  <c r="K9" i="17"/>
  <c r="L9" i="17" s="1"/>
  <c r="M9" i="17" s="1"/>
  <c r="H11" i="17"/>
  <c r="I10" i="17"/>
  <c r="J10" i="17" s="1"/>
  <c r="G29" i="20" l="1"/>
  <c r="D22" i="20"/>
  <c r="B23" i="20"/>
  <c r="G31" i="20"/>
  <c r="C11" i="19"/>
  <c r="G10" i="19"/>
  <c r="K9" i="19"/>
  <c r="H10" i="19"/>
  <c r="I9" i="19"/>
  <c r="J9" i="19" s="1"/>
  <c r="H12" i="17"/>
  <c r="I12" i="17" s="1"/>
  <c r="J12" i="17" s="1"/>
  <c r="I11" i="17"/>
  <c r="J11" i="17" s="1"/>
  <c r="K10" i="17"/>
  <c r="L10" i="17" s="1"/>
  <c r="M10" i="17" s="1"/>
  <c r="G11" i="17"/>
  <c r="C12" i="17"/>
  <c r="B26" i="20" l="1"/>
  <c r="D23" i="20"/>
  <c r="B27" i="20" s="1"/>
  <c r="C12" i="19"/>
  <c r="I10" i="19"/>
  <c r="J10" i="19" s="1"/>
  <c r="H11" i="19"/>
  <c r="L9" i="19"/>
  <c r="G11" i="19"/>
  <c r="K10" i="19"/>
  <c r="L10" i="19" s="1"/>
  <c r="M10" i="19" s="1"/>
  <c r="G12" i="17"/>
  <c r="K12" i="17" s="1"/>
  <c r="L12" i="17" s="1"/>
  <c r="F22" i="17" s="1"/>
  <c r="L17" i="17" s="1"/>
  <c r="K11" i="17"/>
  <c r="L11" i="17" s="1"/>
  <c r="M9" i="19" l="1"/>
  <c r="M11" i="17"/>
  <c r="L13" i="17"/>
  <c r="C28" i="20"/>
  <c r="C29" i="20" s="1"/>
  <c r="B28" i="20"/>
  <c r="B29" i="20" s="1"/>
  <c r="G12" i="19"/>
  <c r="K12" i="19" s="1"/>
  <c r="K11" i="19"/>
  <c r="I11" i="19"/>
  <c r="J11" i="19" s="1"/>
  <c r="H12" i="19"/>
  <c r="I12" i="19" s="1"/>
  <c r="J12" i="19" s="1"/>
  <c r="F24" i="17"/>
  <c r="F23" i="17"/>
  <c r="M12" i="17" s="1"/>
  <c r="M13" i="17" s="1"/>
  <c r="M14" i="17" s="1"/>
  <c r="L12" i="19" l="1"/>
  <c r="F22" i="19" s="1"/>
  <c r="B31" i="20"/>
  <c r="L11" i="19"/>
  <c r="M11" i="19" l="1"/>
  <c r="L13" i="19"/>
  <c r="L17" i="19"/>
  <c r="F23" i="19"/>
  <c r="M12" i="19" s="1"/>
  <c r="D3" i="7"/>
  <c r="D4" i="7"/>
  <c r="D5" i="7"/>
  <c r="D6" i="7"/>
  <c r="D11" i="7"/>
  <c r="D12" i="7"/>
  <c r="D13" i="7"/>
  <c r="D14" i="7"/>
  <c r="D15" i="7"/>
  <c r="D16" i="7"/>
  <c r="D17" i="7"/>
  <c r="M13" i="19" l="1"/>
  <c r="M14" i="19" s="1"/>
  <c r="B30" i="14"/>
  <c r="B24" i="14"/>
  <c r="B20" i="14"/>
  <c r="B14" i="14"/>
  <c r="H10" i="14"/>
  <c r="G10" i="14"/>
  <c r="F10" i="14"/>
  <c r="E10" i="14"/>
  <c r="D10" i="14"/>
  <c r="C10" i="14"/>
  <c r="B10" i="14"/>
  <c r="H8" i="14"/>
  <c r="G8" i="14"/>
  <c r="F8" i="14"/>
  <c r="E8" i="14"/>
  <c r="D8" i="14"/>
  <c r="C8" i="14"/>
  <c r="B8" i="14"/>
  <c r="F11" i="13"/>
  <c r="F10" i="13"/>
  <c r="E12" i="13"/>
  <c r="B12" i="13"/>
  <c r="E11" i="13"/>
  <c r="B11" i="13"/>
  <c r="E10" i="13"/>
  <c r="E8" i="13"/>
  <c r="E6" i="13"/>
  <c r="B10" i="13"/>
  <c r="B8" i="13"/>
  <c r="C8" i="13"/>
  <c r="B6" i="13"/>
  <c r="Q6" i="12"/>
  <c r="Q8" i="12"/>
  <c r="O10" i="12"/>
  <c r="O11" i="12"/>
  <c r="O12" i="12"/>
  <c r="O13" i="12"/>
  <c r="O14" i="12"/>
  <c r="O15" i="12"/>
  <c r="O16" i="12"/>
  <c r="O17" i="12"/>
  <c r="O18" i="12"/>
  <c r="O9" i="12"/>
  <c r="P24" i="12"/>
  <c r="P23" i="12"/>
  <c r="P22" i="12"/>
  <c r="F18" i="12"/>
  <c r="G18" i="12" s="1"/>
  <c r="E20" i="12"/>
  <c r="E19" i="12"/>
  <c r="C9" i="12"/>
  <c r="D10" i="12"/>
  <c r="D11" i="12"/>
  <c r="D12" i="12"/>
  <c r="D13" i="12"/>
  <c r="D14" i="12"/>
  <c r="D15" i="12"/>
  <c r="D9" i="12"/>
  <c r="C15" i="12"/>
  <c r="C14" i="12"/>
  <c r="E14" i="12" s="1"/>
  <c r="C13" i="12"/>
  <c r="C12" i="12"/>
  <c r="C11" i="12"/>
  <c r="C10" i="12"/>
  <c r="F6" i="12"/>
  <c r="M20" i="11"/>
  <c r="M18" i="11"/>
  <c r="M17" i="11"/>
  <c r="M19" i="11"/>
  <c r="M6" i="11"/>
  <c r="M7" i="11"/>
  <c r="M8" i="11"/>
  <c r="M9" i="11"/>
  <c r="M10" i="11"/>
  <c r="M11" i="11"/>
  <c r="M12" i="11"/>
  <c r="M13" i="11"/>
  <c r="M14" i="11"/>
  <c r="M15" i="11"/>
  <c r="M5" i="11"/>
  <c r="M4" i="11"/>
  <c r="L15" i="11"/>
  <c r="L12" i="11"/>
  <c r="L13" i="11"/>
  <c r="L14" i="11"/>
  <c r="L11" i="11"/>
  <c r="L9" i="11"/>
  <c r="L10" i="11"/>
  <c r="L8" i="11"/>
  <c r="L6" i="11"/>
  <c r="L7" i="11"/>
  <c r="L5" i="11"/>
  <c r="D18" i="11"/>
  <c r="D20" i="11"/>
  <c r="D19" i="11"/>
  <c r="D17" i="11"/>
  <c r="D15" i="11"/>
  <c r="D6" i="11"/>
  <c r="D7" i="11"/>
  <c r="D8" i="11"/>
  <c r="D9" i="11"/>
  <c r="D10" i="11"/>
  <c r="D11" i="11"/>
  <c r="D12" i="11"/>
  <c r="D13" i="11"/>
  <c r="D14" i="11"/>
  <c r="D5" i="11"/>
  <c r="C15" i="11"/>
  <c r="C12" i="11"/>
  <c r="C13" i="11"/>
  <c r="C14" i="11"/>
  <c r="C11" i="11"/>
  <c r="C9" i="11"/>
  <c r="C10" i="11"/>
  <c r="C8" i="11"/>
  <c r="C6" i="11"/>
  <c r="C7" i="11"/>
  <c r="C5" i="11"/>
  <c r="D4" i="11"/>
  <c r="F19" i="2"/>
  <c r="G19" i="2"/>
  <c r="H19" i="2"/>
  <c r="I19" i="2"/>
  <c r="J19" i="2"/>
  <c r="K19" i="2"/>
  <c r="E19" i="2"/>
  <c r="F32" i="2"/>
  <c r="G32" i="2"/>
  <c r="H32" i="2"/>
  <c r="I32" i="2"/>
  <c r="J32" i="2"/>
  <c r="K32" i="2"/>
  <c r="F31" i="2"/>
  <c r="G31" i="2"/>
  <c r="H31" i="2"/>
  <c r="I31" i="2"/>
  <c r="J31" i="2"/>
  <c r="K31" i="2"/>
  <c r="E31" i="2"/>
  <c r="E32" i="2"/>
  <c r="F29" i="2"/>
  <c r="G29" i="2"/>
  <c r="H29" i="2"/>
  <c r="I29" i="2"/>
  <c r="J29" i="2"/>
  <c r="K29" i="2"/>
  <c r="E29" i="2"/>
  <c r="F28" i="2"/>
  <c r="G28" i="2"/>
  <c r="H28" i="2"/>
  <c r="I28" i="2"/>
  <c r="J28" i="2"/>
  <c r="K28" i="2"/>
  <c r="E28" i="2"/>
  <c r="F27" i="2"/>
  <c r="G27" i="2"/>
  <c r="H27" i="2"/>
  <c r="I27" i="2"/>
  <c r="J27" i="2"/>
  <c r="K27" i="2"/>
  <c r="E27" i="2"/>
  <c r="F19" i="4"/>
  <c r="G19" i="4"/>
  <c r="H19" i="4"/>
  <c r="I19" i="4"/>
  <c r="J19" i="4"/>
  <c r="K19" i="4"/>
  <c r="E19" i="4"/>
  <c r="F18" i="4"/>
  <c r="G18" i="4"/>
  <c r="H18" i="4"/>
  <c r="I18" i="4"/>
  <c r="J18" i="4"/>
  <c r="K18" i="4"/>
  <c r="E18" i="4"/>
  <c r="G17" i="4"/>
  <c r="H17" i="4"/>
  <c r="I17" i="4"/>
  <c r="J17" i="4"/>
  <c r="K17" i="4"/>
  <c r="E17" i="4"/>
  <c r="F17" i="4"/>
  <c r="G16" i="4"/>
  <c r="H16" i="4"/>
  <c r="I16" i="4"/>
  <c r="J16" i="4"/>
  <c r="K16" i="4"/>
  <c r="F16" i="4"/>
  <c r="K15" i="4"/>
  <c r="K14" i="4"/>
  <c r="F13" i="4"/>
  <c r="G13" i="4"/>
  <c r="H13" i="4"/>
  <c r="I13" i="4"/>
  <c r="J13" i="4"/>
  <c r="K13" i="4"/>
  <c r="F11" i="4"/>
  <c r="G11" i="4"/>
  <c r="H11" i="4"/>
  <c r="I11" i="4"/>
  <c r="J11" i="4"/>
  <c r="K11" i="4"/>
  <c r="F10" i="4"/>
  <c r="G10" i="4"/>
  <c r="H10" i="4"/>
  <c r="I10" i="4"/>
  <c r="J10" i="4"/>
  <c r="K10" i="4"/>
  <c r="F9" i="4"/>
  <c r="G9" i="4"/>
  <c r="H9" i="4"/>
  <c r="I9" i="4"/>
  <c r="J9" i="4"/>
  <c r="K9" i="4"/>
  <c r="E11" i="4"/>
  <c r="E10" i="4"/>
  <c r="E9" i="4"/>
  <c r="E13" i="4"/>
  <c r="B34" i="9"/>
  <c r="J34" i="9"/>
  <c r="J33" i="9"/>
  <c r="C33" i="9"/>
  <c r="D33" i="9"/>
  <c r="E33" i="9"/>
  <c r="F33" i="9"/>
  <c r="G33" i="9"/>
  <c r="H33" i="9"/>
  <c r="B33" i="9"/>
  <c r="J32" i="9"/>
  <c r="G32" i="9"/>
  <c r="H32" i="9"/>
  <c r="F32" i="9"/>
  <c r="B31" i="9"/>
  <c r="C30" i="9"/>
  <c r="C31" i="9" s="1"/>
  <c r="D30" i="9"/>
  <c r="E30" i="9"/>
  <c r="F30" i="9"/>
  <c r="G30" i="9"/>
  <c r="H30" i="9"/>
  <c r="B30" i="9"/>
  <c r="G25" i="9"/>
  <c r="G29" i="9"/>
  <c r="H29" i="9"/>
  <c r="F29" i="9"/>
  <c r="F28" i="9" s="1"/>
  <c r="D27" i="9"/>
  <c r="C26" i="9"/>
  <c r="C27" i="9" s="1"/>
  <c r="D26" i="9"/>
  <c r="E26" i="9"/>
  <c r="E27" i="9" s="1"/>
  <c r="B26" i="9"/>
  <c r="D24" i="9"/>
  <c r="E24" i="9"/>
  <c r="F24" i="9"/>
  <c r="G24" i="9"/>
  <c r="C23" i="9"/>
  <c r="C24" i="9" s="1"/>
  <c r="D23" i="9"/>
  <c r="D31" i="9" s="1"/>
  <c r="E23" i="9"/>
  <c r="E31" i="9" s="1"/>
  <c r="F23" i="9"/>
  <c r="F26" i="9" s="1"/>
  <c r="F27" i="9" s="1"/>
  <c r="G23" i="9"/>
  <c r="G26" i="9" s="1"/>
  <c r="G27" i="9" s="1"/>
  <c r="H23" i="9"/>
  <c r="H25" i="9" s="1"/>
  <c r="B23" i="9"/>
  <c r="C22" i="9"/>
  <c r="D22" i="9"/>
  <c r="E22" i="9"/>
  <c r="F22" i="9"/>
  <c r="G22" i="9"/>
  <c r="H22" i="9"/>
  <c r="B22" i="9"/>
  <c r="D20" i="9"/>
  <c r="E20" i="9"/>
  <c r="F20" i="9"/>
  <c r="G20" i="9"/>
  <c r="H20" i="9"/>
  <c r="C19" i="9"/>
  <c r="D19" i="9"/>
  <c r="D21" i="9" s="1"/>
  <c r="E19" i="9"/>
  <c r="E21" i="9" s="1"/>
  <c r="F19" i="9"/>
  <c r="F18" i="9" s="1"/>
  <c r="G19" i="9"/>
  <c r="G21" i="9" s="1"/>
  <c r="H19" i="9"/>
  <c r="H21" i="9" s="1"/>
  <c r="B19" i="9"/>
  <c r="B21" i="9" s="1"/>
  <c r="G17" i="9"/>
  <c r="G18" i="9" s="1"/>
  <c r="F17" i="9"/>
  <c r="C16" i="9"/>
  <c r="D16" i="9"/>
  <c r="E16" i="9"/>
  <c r="F16" i="9"/>
  <c r="G16" i="9"/>
  <c r="B16" i="9"/>
  <c r="D15" i="9"/>
  <c r="G15" i="9"/>
  <c r="H15" i="9"/>
  <c r="B15" i="9"/>
  <c r="C14" i="9"/>
  <c r="D14" i="9"/>
  <c r="E14" i="9"/>
  <c r="E15" i="9" s="1"/>
  <c r="F14" i="9"/>
  <c r="F15" i="9" s="1"/>
  <c r="G14" i="9"/>
  <c r="H14" i="9"/>
  <c r="B14" i="9"/>
  <c r="C9" i="9"/>
  <c r="D9" i="9"/>
  <c r="E9" i="9"/>
  <c r="F9" i="9"/>
  <c r="G9" i="9"/>
  <c r="H9" i="9"/>
  <c r="B9" i="9"/>
  <c r="C10" i="9"/>
  <c r="D10" i="9"/>
  <c r="E10" i="9"/>
  <c r="F10" i="9"/>
  <c r="G10" i="9"/>
  <c r="H10" i="9"/>
  <c r="B10" i="9"/>
  <c r="C11" i="9"/>
  <c r="D11" i="9"/>
  <c r="E11" i="9"/>
  <c r="F11" i="9"/>
  <c r="G11" i="9"/>
  <c r="H11" i="9"/>
  <c r="B11" i="9"/>
  <c r="G5" i="9"/>
  <c r="H5" i="9"/>
  <c r="C6" i="9"/>
  <c r="D6" i="9"/>
  <c r="E6" i="9"/>
  <c r="F6" i="9"/>
  <c r="G6" i="9"/>
  <c r="H6" i="9"/>
  <c r="B6" i="9"/>
  <c r="C4" i="9"/>
  <c r="D4" i="9"/>
  <c r="D12" i="9" s="1"/>
  <c r="D13" i="9" s="1"/>
  <c r="E4" i="9"/>
  <c r="E12" i="9" s="1"/>
  <c r="E13" i="9" s="1"/>
  <c r="F4" i="9"/>
  <c r="F12" i="9" s="1"/>
  <c r="F13" i="9" s="1"/>
  <c r="G4" i="9"/>
  <c r="H4" i="9"/>
  <c r="C3" i="9"/>
  <c r="D3" i="9"/>
  <c r="E3" i="9"/>
  <c r="F3" i="9"/>
  <c r="G3" i="9"/>
  <c r="H3" i="9"/>
  <c r="B3" i="9"/>
  <c r="B4" i="9"/>
  <c r="E15" i="12" l="1"/>
  <c r="E12" i="12"/>
  <c r="N10" i="12"/>
  <c r="P25" i="12"/>
  <c r="C16" i="12"/>
  <c r="E11" i="12"/>
  <c r="E9" i="12"/>
  <c r="E13" i="12"/>
  <c r="N14" i="12"/>
  <c r="P14" i="12" s="1"/>
  <c r="C17" i="12"/>
  <c r="E17" i="12" s="1"/>
  <c r="P10" i="12"/>
  <c r="N11" i="12"/>
  <c r="P11" i="12" s="1"/>
  <c r="N17" i="12"/>
  <c r="P17" i="12" s="1"/>
  <c r="N15" i="12"/>
  <c r="P15" i="12" s="1"/>
  <c r="F9" i="12"/>
  <c r="G9" i="12" s="1"/>
  <c r="E23" i="12"/>
  <c r="N13" i="12"/>
  <c r="P13" i="12" s="1"/>
  <c r="N16" i="12"/>
  <c r="P16" i="12" s="1"/>
  <c r="E10" i="12"/>
  <c r="E21" i="12"/>
  <c r="N12" i="12"/>
  <c r="P12" i="12" s="1"/>
  <c r="P26" i="12"/>
  <c r="N9" i="12"/>
  <c r="P9" i="12" s="1"/>
  <c r="N18" i="12"/>
  <c r="P18" i="12" s="1"/>
  <c r="D9" i="14"/>
  <c r="C9" i="14"/>
  <c r="E9" i="14"/>
  <c r="F9" i="14"/>
  <c r="G9" i="14"/>
  <c r="H9" i="14"/>
  <c r="J8" i="14"/>
  <c r="B22" i="14"/>
  <c r="B23" i="14" s="1"/>
  <c r="B26" i="14" s="1"/>
  <c r="B28" i="14" s="1"/>
  <c r="I8" i="14"/>
  <c r="B12" i="14"/>
  <c r="B13" i="14" s="1"/>
  <c r="B16" i="14" s="1"/>
  <c r="B18" i="14" s="1"/>
  <c r="C7" i="21" s="1"/>
  <c r="G28" i="9"/>
  <c r="H31" i="9"/>
  <c r="C12" i="9"/>
  <c r="C13" i="9" s="1"/>
  <c r="C15" i="9"/>
  <c r="G31" i="9"/>
  <c r="F5" i="9"/>
  <c r="H12" i="9"/>
  <c r="H13" i="9" s="1"/>
  <c r="E5" i="9"/>
  <c r="G12" i="9"/>
  <c r="G13" i="9" s="1"/>
  <c r="C25" i="9"/>
  <c r="F25" i="9"/>
  <c r="F31" i="9"/>
  <c r="B12" i="9"/>
  <c r="B13" i="9" s="1"/>
  <c r="F21" i="9"/>
  <c r="H26" i="9"/>
  <c r="H27" i="9" s="1"/>
  <c r="C20" i="9"/>
  <c r="H24" i="9"/>
  <c r="C5" i="9"/>
  <c r="C21" i="9"/>
  <c r="D5" i="9"/>
  <c r="F25" i="2"/>
  <c r="G25" i="2"/>
  <c r="H25" i="2"/>
  <c r="I25" i="2"/>
  <c r="J25" i="2"/>
  <c r="K25" i="2"/>
  <c r="E25" i="2"/>
  <c r="C6" i="3"/>
  <c r="D6" i="3"/>
  <c r="E6" i="3"/>
  <c r="F6" i="3"/>
  <c r="G6" i="3"/>
  <c r="H6" i="3"/>
  <c r="I6" i="3"/>
  <c r="J6" i="3"/>
  <c r="K6" i="3"/>
  <c r="B6" i="3"/>
  <c r="C5" i="1"/>
  <c r="D5" i="1"/>
  <c r="E5" i="1"/>
  <c r="E6" i="1" s="1"/>
  <c r="E19" i="1" s="1"/>
  <c r="F5" i="1"/>
  <c r="G5" i="1"/>
  <c r="H5" i="1"/>
  <c r="I5" i="1"/>
  <c r="J5" i="1"/>
  <c r="K5" i="1"/>
  <c r="B5" i="1"/>
  <c r="C93" i="6"/>
  <c r="C13" i="1" s="1"/>
  <c r="D93" i="6"/>
  <c r="E93" i="6"/>
  <c r="F93" i="6"/>
  <c r="G93" i="6"/>
  <c r="B93" i="6"/>
  <c r="B13" i="1" s="1"/>
  <c r="B6" i="6"/>
  <c r="C17" i="2"/>
  <c r="D17" i="2"/>
  <c r="E17" i="2"/>
  <c r="F17" i="2"/>
  <c r="G17" i="2"/>
  <c r="H17" i="2"/>
  <c r="I17" i="2"/>
  <c r="J17" i="2"/>
  <c r="K17" i="2"/>
  <c r="K20" i="2" s="1"/>
  <c r="C18" i="2"/>
  <c r="D18" i="2"/>
  <c r="E18" i="2"/>
  <c r="F18" i="2"/>
  <c r="G18" i="2"/>
  <c r="H18" i="2"/>
  <c r="I18" i="2"/>
  <c r="J18" i="2"/>
  <c r="J21" i="2" s="1"/>
  <c r="K18" i="2"/>
  <c r="B17" i="2"/>
  <c r="C4" i="2"/>
  <c r="D4" i="2"/>
  <c r="E4" i="2"/>
  <c r="E5" i="2"/>
  <c r="F4" i="2"/>
  <c r="F23" i="2" s="1"/>
  <c r="G4" i="2"/>
  <c r="H4" i="2"/>
  <c r="I4" i="2"/>
  <c r="I5" i="2"/>
  <c r="J4" i="2"/>
  <c r="J5" i="2"/>
  <c r="K4" i="2"/>
  <c r="K23" i="2" s="1"/>
  <c r="C5" i="2"/>
  <c r="D5" i="2"/>
  <c r="F5" i="2"/>
  <c r="G5" i="2"/>
  <c r="H5" i="2"/>
  <c r="K5" i="2"/>
  <c r="C6" i="2"/>
  <c r="D6" i="2"/>
  <c r="E6" i="2"/>
  <c r="F6" i="2"/>
  <c r="G6" i="2"/>
  <c r="H6" i="2"/>
  <c r="I6" i="2"/>
  <c r="J6" i="2"/>
  <c r="K6" i="2"/>
  <c r="C7" i="2"/>
  <c r="C16" i="2" s="1"/>
  <c r="D7" i="2"/>
  <c r="E7" i="2"/>
  <c r="F7" i="2"/>
  <c r="G7" i="2"/>
  <c r="H7" i="2"/>
  <c r="I7" i="2"/>
  <c r="J7" i="2"/>
  <c r="K7" i="2"/>
  <c r="K16" i="2" s="1"/>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F16" i="2" s="1"/>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E14" i="3" s="1"/>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L10" i="1" s="1"/>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I6" i="1" s="1"/>
  <c r="I19" i="1" s="1"/>
  <c r="J4" i="1"/>
  <c r="L23" i="1" s="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D12" i="1"/>
  <c r="E12" i="1"/>
  <c r="E23" i="2" s="1"/>
  <c r="F12" i="1"/>
  <c r="F13" i="1" s="1"/>
  <c r="G12" i="1"/>
  <c r="G13" i="1" s="1"/>
  <c r="H12" i="1"/>
  <c r="I12" i="1"/>
  <c r="I23" i="2" s="1"/>
  <c r="J12" i="1"/>
  <c r="J13" i="1" s="1"/>
  <c r="K12" i="1"/>
  <c r="K13" i="1" s="1"/>
  <c r="C15" i="1"/>
  <c r="C14" i="1" s="1"/>
  <c r="D15" i="1"/>
  <c r="D14" i="1" s="1"/>
  <c r="E15" i="1"/>
  <c r="E14" i="1" s="1"/>
  <c r="F15" i="1"/>
  <c r="F14" i="1" s="1"/>
  <c r="G15" i="1"/>
  <c r="G14" i="1"/>
  <c r="H15" i="1"/>
  <c r="H14" i="1" s="1"/>
  <c r="I15" i="1"/>
  <c r="J15" i="1"/>
  <c r="J14" i="1" s="1"/>
  <c r="K15" i="1"/>
  <c r="K14" i="1" s="1"/>
  <c r="B15" i="1"/>
  <c r="B14" i="1" s="1"/>
  <c r="H13" i="1"/>
  <c r="I13" i="1"/>
  <c r="B7" i="1"/>
  <c r="B4" i="1"/>
  <c r="B20" i="2" s="1"/>
  <c r="A1" i="1"/>
  <c r="E1" i="6"/>
  <c r="H1" i="1" s="1"/>
  <c r="H16" i="2"/>
  <c r="D16" i="2"/>
  <c r="C23" i="2"/>
  <c r="G23" i="2"/>
  <c r="B23" i="2"/>
  <c r="H23" i="2"/>
  <c r="D23" i="2"/>
  <c r="K6" i="1"/>
  <c r="K19" i="1" s="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I21" i="2"/>
  <c r="H21" i="2"/>
  <c r="G21" i="2"/>
  <c r="F21" i="2"/>
  <c r="E21" i="2"/>
  <c r="D21" i="2"/>
  <c r="C21" i="2"/>
  <c r="B18" i="2"/>
  <c r="B21" i="2"/>
  <c r="B13" i="2"/>
  <c r="B16" i="2" s="1"/>
  <c r="B12" i="2"/>
  <c r="B11" i="2"/>
  <c r="B10" i="2"/>
  <c r="B8" i="2"/>
  <c r="B7" i="2"/>
  <c r="B6" i="2"/>
  <c r="B3" i="2"/>
  <c r="J14" i="3"/>
  <c r="H14" i="3"/>
  <c r="F14" i="3"/>
  <c r="B12" i="3"/>
  <c r="B11" i="3"/>
  <c r="B10" i="3"/>
  <c r="B9" i="3"/>
  <c r="B8" i="3"/>
  <c r="B7" i="3"/>
  <c r="B4" i="3"/>
  <c r="B14" i="3" s="1"/>
  <c r="B3" i="3"/>
  <c r="L13" i="1"/>
  <c r="L15" i="1"/>
  <c r="B12" i="1"/>
  <c r="B11" i="1"/>
  <c r="B10" i="1"/>
  <c r="B9" i="1"/>
  <c r="B8" i="1"/>
  <c r="B3" i="1"/>
  <c r="I14" i="3"/>
  <c r="G14" i="3"/>
  <c r="G20" i="2"/>
  <c r="D20" i="2"/>
  <c r="L14" i="1"/>
  <c r="L25" i="1"/>
  <c r="C20" i="2"/>
  <c r="E20" i="2"/>
  <c r="L12" i="1"/>
  <c r="L11" i="1"/>
  <c r="L6" i="1"/>
  <c r="L19" i="1" s="1"/>
  <c r="L24" i="1" s="1"/>
  <c r="L4" i="1"/>
  <c r="A1" i="3"/>
  <c r="A1" i="2"/>
  <c r="A1" i="4"/>
  <c r="H23" i="1"/>
  <c r="I23" i="1"/>
  <c r="J23" i="1"/>
  <c r="L5" i="1"/>
  <c r="E16" i="12" l="1"/>
  <c r="E18" i="12" s="1"/>
  <c r="N20" i="12"/>
  <c r="P20" i="12" s="1"/>
  <c r="C24" i="12"/>
  <c r="C18" i="12"/>
  <c r="N28" i="12"/>
  <c r="N19" i="12"/>
  <c r="N21" i="12" s="1"/>
  <c r="N27" i="12" s="1"/>
  <c r="B8" i="21"/>
  <c r="E24" i="12"/>
  <c r="P19" i="12"/>
  <c r="P21" i="12" s="1"/>
  <c r="B7" i="21"/>
  <c r="B10" i="21" s="1"/>
  <c r="B29" i="14"/>
  <c r="B19" i="14"/>
  <c r="H28" i="9"/>
  <c r="N11" i="1"/>
  <c r="M11" i="1"/>
  <c r="J6" i="1"/>
  <c r="J19" i="1" s="1"/>
  <c r="E1" i="3"/>
  <c r="I24" i="1"/>
  <c r="I16" i="2"/>
  <c r="K24" i="2"/>
  <c r="H24" i="1"/>
  <c r="E1" i="2"/>
  <c r="F24" i="2"/>
  <c r="E13" i="1"/>
  <c r="G16" i="2"/>
  <c r="E24" i="2"/>
  <c r="D13" i="1"/>
  <c r="J24" i="2"/>
  <c r="D24" i="2"/>
  <c r="J20" i="2"/>
  <c r="I24" i="2"/>
  <c r="I14" i="1"/>
  <c r="K25" i="1" s="1"/>
  <c r="M25" i="1" s="1"/>
  <c r="M14" i="1" s="1"/>
  <c r="C24" i="2"/>
  <c r="H24" i="2"/>
  <c r="G24" i="2"/>
  <c r="K24" i="1"/>
  <c r="L9" i="1"/>
  <c r="M9" i="1" s="1"/>
  <c r="L8" i="1"/>
  <c r="L7" i="1"/>
  <c r="J23" i="2"/>
  <c r="J25" i="1"/>
  <c r="M24" i="1"/>
  <c r="N8" i="1"/>
  <c r="M8" i="1"/>
  <c r="H25" i="1"/>
  <c r="N25" i="1" s="1"/>
  <c r="N14" i="1" s="1"/>
  <c r="I25" i="1"/>
  <c r="I20" i="2"/>
  <c r="J24" i="1"/>
  <c r="H20" i="2"/>
  <c r="K23" i="1"/>
  <c r="M23" i="1" s="1"/>
  <c r="M4" i="1" s="1"/>
  <c r="H6" i="1"/>
  <c r="H19" i="1" s="1"/>
  <c r="F6" i="1"/>
  <c r="F19" i="1" s="1"/>
  <c r="E1" i="4"/>
  <c r="P27" i="12" l="1"/>
  <c r="N29" i="12" s="1"/>
  <c r="C8" i="21"/>
  <c r="C10" i="21" s="1"/>
  <c r="C12" i="21" s="1"/>
  <c r="B12" i="21"/>
  <c r="N24" i="1"/>
  <c r="N9" i="1"/>
  <c r="N23" i="1"/>
  <c r="N4" i="1" s="1"/>
  <c r="M6" i="1"/>
  <c r="M10" i="1" s="1"/>
  <c r="M12" i="1" s="1"/>
  <c r="M13" i="1" s="1"/>
  <c r="M15" i="1" s="1"/>
  <c r="B13" i="21" l="1"/>
  <c r="B11" i="21"/>
  <c r="B15" i="21" s="1"/>
  <c r="N6" i="1"/>
  <c r="N10" i="1" s="1"/>
  <c r="N12" i="1" s="1"/>
  <c r="N13" i="1" s="1"/>
  <c r="N15" i="1" s="1"/>
  <c r="M5" i="1"/>
  <c r="N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Vishal</author>
    <author>Safal Niveshak</author>
  </authors>
  <commentList>
    <comment ref="A4" authorId="0" shapeId="0" xr:uid="{419B5645-01B7-4B5D-A8ED-5C6C00D1A7CD}">
      <text>
        <r>
          <rPr>
            <sz val="9"/>
            <color rgb="FF000000"/>
            <rFont val="Tahoma"/>
            <family val="2"/>
          </rPr>
          <t xml:space="preserve">It's better to take a 3-5 years average FCF as this starting number instead of the latest year's FCF. This is for the simple reason that the latest year can be a best/worst number.
</t>
        </r>
        <r>
          <rPr>
            <sz val="9"/>
            <color rgb="FF000000"/>
            <rFont val="Tahoma"/>
            <family val="2"/>
          </rPr>
          <t xml:space="preserve">
</t>
        </r>
        <r>
          <rPr>
            <sz val="9"/>
            <color rgb="FF000000"/>
            <rFont val="Tahoma"/>
            <family val="2"/>
          </rPr>
          <t xml:space="preserve">FCF can be calculated from the Cash Flow Statement in the annual report.
</t>
        </r>
        <r>
          <rPr>
            <sz val="9"/>
            <color rgb="FF000000"/>
            <rFont val="Tahoma"/>
            <family val="2"/>
          </rPr>
          <t xml:space="preserve">
</t>
        </r>
        <r>
          <rPr>
            <b/>
            <sz val="9"/>
            <color rgb="FF000000"/>
            <rFont val="Tahoma"/>
            <family val="2"/>
          </rPr>
          <t xml:space="preserve">FCF formula = Net Cash from/(used in) Operating Activities </t>
        </r>
        <r>
          <rPr>
            <b/>
            <i/>
            <sz val="9"/>
            <color rgb="FF000000"/>
            <rFont val="Tahoma"/>
            <family val="2"/>
          </rPr>
          <t>minus</t>
        </r>
        <r>
          <rPr>
            <b/>
            <sz val="9"/>
            <color rgb="FF000000"/>
            <rFont val="Tahoma"/>
            <family val="2"/>
          </rPr>
          <t xml:space="preserve"> Purchase of Fixed Assets</t>
        </r>
        <r>
          <rPr>
            <sz val="9"/>
            <color rgb="FF000000"/>
            <rFont val="Tahoma"/>
            <family val="2"/>
          </rPr>
          <t xml:space="preserve">
</t>
        </r>
        <r>
          <rPr>
            <sz val="9"/>
            <color rgb="FF000000"/>
            <rFont val="Tahoma"/>
            <family val="2"/>
          </rPr>
          <t xml:space="preserve">
</t>
        </r>
        <r>
          <rPr>
            <sz val="9"/>
            <color rgb="FF000000"/>
            <rFont val="Tahoma"/>
            <family val="2"/>
          </rPr>
          <t>In case of companies earning negative FCF, where this model will not work, you must use a normalized positive FCF as the starting number. This number is your assumption of FCF the business will earn in a normal year, without capex.</t>
        </r>
      </text>
    </comment>
    <comment ref="A6" authorId="0" shapeId="0" xr:uid="{3E8444F9-0F18-4692-8962-493E08DE1324}">
      <text>
        <r>
          <rPr>
            <sz val="9"/>
            <color rgb="FF000000"/>
            <rFont val="Tahoma"/>
            <family val="2"/>
          </rPr>
          <t>In a 2-stage DCF, we break the next 10 years into two phases of five years each, and then calculate the FCF growth based on growth rates assumed below.</t>
        </r>
      </text>
    </comment>
    <comment ref="A7" authorId="0" shapeId="0" xr:uid="{581FEF17-C231-4A1E-B6FF-BECD6300C61D}">
      <text>
        <r>
          <rPr>
            <sz val="9"/>
            <color rgb="FF000000"/>
            <rFont val="Tahoma"/>
            <family val="2"/>
          </rPr>
          <t xml:space="preserve">Be conservative!
</t>
        </r>
        <r>
          <rPr>
            <sz val="9"/>
            <color rgb="FF000000"/>
            <rFont val="Tahoma"/>
            <family val="2"/>
          </rPr>
          <t xml:space="preserve">
</t>
        </r>
        <r>
          <rPr>
            <sz val="9"/>
            <color rgb="FF000000"/>
            <rFont val="Tahoma"/>
            <family val="2"/>
          </rPr>
          <t xml:space="preserve">Prefer to value stocks based on the present data rather than what will happen in the future. Anything could happen even in 1 year, and if the growth rate is too high and the company cannot meet those expectations, there is no where to go but down.
</t>
        </r>
        <r>
          <rPr>
            <sz val="9"/>
            <color rgb="FF000000"/>
            <rFont val="Tahoma"/>
            <family val="2"/>
          </rPr>
          <t xml:space="preserve">
</t>
        </r>
        <r>
          <rPr>
            <sz val="9"/>
            <color rgb="FF000000"/>
            <rFont val="Tahoma"/>
            <family val="2"/>
          </rPr>
          <t xml:space="preserve">The best practice is to keep growth rates as low as possible. If the company looks to be undervalued with 0% growth rate, you have more upside than downside. The higher you set the growth rate, the higher you set up the downside potential. Just be reasonable and use common sense.
</t>
        </r>
        <r>
          <rPr>
            <sz val="9"/>
            <color rgb="FF000000"/>
            <rFont val="Tahoma"/>
            <family val="2"/>
          </rPr>
          <t xml:space="preserve">
</t>
        </r>
        <r>
          <rPr>
            <sz val="9"/>
            <color rgb="FF000000"/>
            <rFont val="Tahoma"/>
            <family val="2"/>
          </rPr>
          <t xml:space="preserve">On most of the stocks I value, I rarely go above 15% (for the first 5-year period), and that’s only for the safest, cash-generating businesses. This is approx. 2x India's expected long-term GDP growth rate (in real terms).
</t>
        </r>
        <r>
          <rPr>
            <sz val="9"/>
            <color rgb="FF000000"/>
            <rFont val="Tahoma"/>
            <family val="2"/>
          </rPr>
          <t xml:space="preserve">
</t>
        </r>
        <r>
          <rPr>
            <sz val="9"/>
            <color rgb="FF000000"/>
            <rFont val="Tahoma"/>
            <family val="2"/>
          </rPr>
          <t>The goal of choosing a growth rate is to find a number which is conservative yet not very low or pessimistic, and close to reality in order to capture potential future gains without eliminating too many investment candidates.</t>
        </r>
      </text>
    </comment>
    <comment ref="A8" authorId="0" shapeId="0" xr:uid="{414C50AC-6F2F-4DDF-A5A3-2EEBF1958125}">
      <text>
        <r>
          <rPr>
            <sz val="9"/>
            <color rgb="FF000000"/>
            <rFont val="Tahoma"/>
            <family val="2"/>
          </rPr>
          <t xml:space="preserve">This is the rate at which you discount the future cash flows to the present value.
</t>
        </r>
        <r>
          <rPr>
            <sz val="9"/>
            <color rgb="FF000000"/>
            <rFont val="Tahoma"/>
            <family val="2"/>
          </rPr>
          <t xml:space="preserve">
</t>
        </r>
        <r>
          <rPr>
            <sz val="9"/>
            <color rgb="FF000000"/>
            <rFont val="Tahoma"/>
            <family val="2"/>
          </rPr>
          <t xml:space="preserve">Look at discount rate as the “annual rate of return” you want to earn from the stock. In other words, if you are looking to invest in a business that has comparatively higher (business) risk than other businesses (like in case of most mid and small cap stocks), you may want to earn a 15% annual return from it. For valuing such businesses, take 15% as the discount rate. In case of relatively safer businesses, earning around 12% annual return over the long term is a good expectation (because these businesses will also provide some stability to your portfolio during bad times). For valuing such businesses, take 12% as the discount rate.
</t>
        </r>
        <r>
          <rPr>
            <sz val="9"/>
            <color rgb="FF000000"/>
            <rFont val="Tahoma"/>
            <family val="2"/>
          </rPr>
          <t xml:space="preserve">
</t>
        </r>
        <r>
          <rPr>
            <b/>
            <sz val="9"/>
            <color rgb="FF000000"/>
            <rFont val="Tahoma"/>
            <family val="2"/>
          </rPr>
          <t xml:space="preserve">Better still, assume a constant discount rate for all companies. I have gradually turned to this model – of taking a constant 12% discount rate for all kind of businesses (safe or risky). (P.S. I earlier assumed a 15% discount rate)
</t>
        </r>
        <r>
          <rPr>
            <b/>
            <sz val="9"/>
            <color rgb="FF000000"/>
            <rFont val="Tahoma"/>
            <family val="2"/>
          </rPr>
          <t xml:space="preserve">
</t>
        </r>
        <r>
          <rPr>
            <sz val="9"/>
            <color rgb="FF000000"/>
            <rFont val="Tahoma"/>
            <family val="2"/>
          </rPr>
          <t xml:space="preserve">Also, do not adjust the entire risk of a investment in its discount rate. In other words, if a stock is a "riskier" investment than another, adjust for some risk in the cash flow growth estimates and some in the discount rate.
</t>
        </r>
        <r>
          <rPr>
            <sz val="9"/>
            <color rgb="FF000000"/>
            <rFont val="Tahoma"/>
            <family val="2"/>
          </rPr>
          <t xml:space="preserve">
</t>
        </r>
        <r>
          <rPr>
            <sz val="9"/>
            <color rgb="FF000000"/>
            <rFont val="Tahoma"/>
            <family val="2"/>
          </rPr>
          <t xml:space="preserve">Ignore simple yet junk models like CAPM to get the discount rate. People in the finance world pour out their hearts to obtain the most accurate discount rate by analyzing risk free rates, beta, risk premium and WACC. It's just short of rubbish! What’s the point in learning every method of hammering a nail when all you have to do is hit it on the head. So do not over-complicate this aspect.
</t>
        </r>
        <r>
          <rPr>
            <sz val="9"/>
            <color rgb="FF000000"/>
            <rFont val="Tahoma"/>
            <family val="2"/>
          </rPr>
          <t xml:space="preserve">
</t>
        </r>
        <r>
          <rPr>
            <sz val="9"/>
            <color rgb="FF000000"/>
            <rFont val="Tahoma"/>
            <family val="2"/>
          </rPr>
          <t xml:space="preserve">The beauty of old school Graham and Buffett is that their investments are based on common sense, not volatility and other mumbo jumbo. There is no hard and fast rule for choosing a discount rate. Using a high discount rate to discount the future cash just means you are willing to pay less today for the future cash and vice versa. Do understand that - “You can’t compensate for risk by using a high discount rate.” 
</t>
        </r>
        <r>
          <rPr>
            <sz val="9"/>
            <color rgb="FF000000"/>
            <rFont val="Tahoma"/>
            <family val="2"/>
          </rPr>
          <t xml:space="preserve">
</t>
        </r>
        <r>
          <rPr>
            <sz val="9"/>
            <color rgb="FF000000"/>
            <rFont val="Tahoma"/>
            <family val="2"/>
          </rPr>
          <t xml:space="preserve">The important aspect is not deciding upon a discount rate, but in being logical and reasonable about cash projections.
</t>
        </r>
        <r>
          <rPr>
            <sz val="9"/>
            <color rgb="FF000000"/>
            <rFont val="Tahoma"/>
            <family val="2"/>
          </rPr>
          <t xml:space="preserve">
</t>
        </r>
        <r>
          <rPr>
            <sz val="9"/>
            <color rgb="FF000000"/>
            <rFont val="Tahoma"/>
            <family val="2"/>
          </rPr>
          <t>Another way you can look at discount rate is to not using different discount rates for different businesses. It won't really matter what rate you use as long as you are being intellectually honest and conservative about future cash flows.</t>
        </r>
      </text>
    </comment>
    <comment ref="A9" authorId="0" shapeId="0" xr:uid="{4DD68E15-BC78-4F14-8BB8-108B36337694}">
      <text>
        <r>
          <rPr>
            <sz val="9"/>
            <color rgb="FF000000"/>
            <rFont val="Tahoma"/>
            <family val="2"/>
          </rPr>
          <t xml:space="preserve">Since it isn’t practical to forecast cash flows for an infinite number of years, it’s usual to end the DCF with a terminal value.
</t>
        </r>
        <r>
          <rPr>
            <sz val="9"/>
            <color rgb="FF000000"/>
            <rFont val="Tahoma"/>
            <family val="2"/>
          </rPr>
          <t xml:space="preserve">
</t>
        </r>
        <r>
          <rPr>
            <sz val="9"/>
            <color rgb="FF000000"/>
            <rFont val="Tahoma"/>
            <family val="2"/>
          </rPr>
          <t xml:space="preserve">The best terminal growth rate is 0%, and the highest you should go (for safest businesses) is 2%.
</t>
        </r>
      </text>
    </comment>
    <comment ref="A11" authorId="1" shapeId="0" xr:uid="{AF8A4592-844D-4EA5-A30B-EF92EFB7E5D0}">
      <text>
        <r>
          <rPr>
            <sz val="9"/>
            <color rgb="FF000000"/>
            <rFont val="Tahoma"/>
            <family val="2"/>
          </rPr>
          <t xml:space="preserve">If this figure is negative, i.e., in brackets, it means that the company has more Cash than Debt. This is automatically added to the PV of cash flows below to give a complete picture of the company's valuation.
</t>
        </r>
      </text>
    </comment>
  </commentList>
</comments>
</file>

<file path=xl/sharedStrings.xml><?xml version="1.0" encoding="utf-8"?>
<sst xmlns="http://schemas.openxmlformats.org/spreadsheetml/2006/main" count="532" uniqueCount="349">
  <si>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</si>
  <si>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</si>
  <si>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</si>
  <si>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</si>
  <si>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</si>
  <si>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</si>
  <si>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</si>
  <si>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</si>
  <si>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</si>
  <si>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</si>
  <si>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</si>
  <si>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</si>
  <si>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</si>
  <si>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</si>
  <si>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</si>
  <si>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</si>
  <si>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</si>
  <si>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</si>
  <si>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</si>
  <si>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</si>
  <si>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</si>
  <si>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</si>
  <si>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</si>
  <si>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</si>
  <si>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</si>
  <si>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</si>
  <si>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</si>
  <si>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</si>
  <si>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</si>
  <si>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</si>
  <si>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</si>
  <si>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</si>
  <si>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</si>
  <si>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</si>
  <si>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</si>
  <si>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</si>
  <si>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</si>
  <si>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</si>
  <si>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</si>
  <si>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</si>
  <si>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</si>
  <si>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</si>
  <si>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</si>
  <si>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</si>
  <si>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</si>
  <si>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</si>
  <si>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</si>
  <si>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</si>
  <si>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EPS</t>
  </si>
  <si>
    <t>Price</t>
  </si>
  <si>
    <t>Return on Equity</t>
  </si>
  <si>
    <t>Return on Capital Emp</t>
  </si>
  <si>
    <t>LATEST VERSION</t>
  </si>
  <si>
    <t>CURRENT VERSION</t>
  </si>
  <si>
    <t>LIFE INSURANCE CORPORATION OF INDIA</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</si>
  <si>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</si>
  <si>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</si>
  <si>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</si>
  <si>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</si>
  <si>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</si>
  <si>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</si>
  <si>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</si>
  <si>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</si>
  <si>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</si>
  <si>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</si>
  <si>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</si>
  <si>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</si>
  <si>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</si>
  <si>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</si>
  <si>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</si>
  <si>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</si>
  <si>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</si>
  <si>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</si>
  <si>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</si>
  <si>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</si>
  <si>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</si>
  <si>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</si>
  <si>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</si>
  <si>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</si>
  <si>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</si>
  <si>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</si>
  <si>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Parameters</t>
  </si>
  <si>
    <t>Company</t>
  </si>
  <si>
    <t>Current Stock Price (Rs)</t>
  </si>
  <si>
    <t>Face Value (Rs)</t>
  </si>
  <si>
    <t>No. of Shares (Crore)</t>
  </si>
  <si>
    <t>Market Capitalization (Rs Crore)</t>
  </si>
  <si>
    <t xml:space="preserve">Discount Rate </t>
  </si>
  <si>
    <t>Details</t>
  </si>
  <si>
    <t>Key Financials - Trend</t>
  </si>
  <si>
    <t>Sales Growth (7-Year CAGR)</t>
  </si>
  <si>
    <t>Profit Before Tax Growth (7-Year CAGR)</t>
  </si>
  <si>
    <t>Net Profit Growth (7-Year CAGR)</t>
  </si>
  <si>
    <t>Average Debt/Equity (5-Years, x)</t>
  </si>
  <si>
    <t>Average Return on Equity (5-Years)</t>
  </si>
  <si>
    <t>Latest P/E (x)</t>
  </si>
  <si>
    <t>Debt/Equity</t>
  </si>
  <si>
    <t>Average P/E (4-Years, x)</t>
  </si>
  <si>
    <t>Rs Cr</t>
  </si>
  <si>
    <t>% Growth YOY</t>
  </si>
  <si>
    <t>Material Cost (% of Sales)</t>
  </si>
  <si>
    <t>Selling and Admin Cost</t>
  </si>
  <si>
    <t>Operating Profit Margin</t>
  </si>
  <si>
    <t>Other Income as % of Sales</t>
  </si>
  <si>
    <t>Interest Coverage(Times)</t>
  </si>
  <si>
    <t>Profit before tax (PBT)</t>
  </si>
  <si>
    <t>PBT Margin</t>
  </si>
  <si>
    <t>Net Profit Margin</t>
  </si>
  <si>
    <t>Price to earning (P/E)</t>
  </si>
  <si>
    <t>Dividend</t>
  </si>
  <si>
    <t>Market Cap</t>
  </si>
  <si>
    <t>Retained Earnings</t>
  </si>
  <si>
    <t>Buffett's $1 Test</t>
  </si>
  <si>
    <t>Profit &amp; Loss Account / Income Statement</t>
  </si>
  <si>
    <t xml:space="preserve">Delta MCAP </t>
  </si>
  <si>
    <t>Accumulated RE</t>
  </si>
  <si>
    <t>Net Capex (est)</t>
  </si>
  <si>
    <t>%Growth YOY</t>
  </si>
  <si>
    <t>CFO/SALES</t>
  </si>
  <si>
    <t>CFO/Net Profit</t>
  </si>
  <si>
    <t>FCF</t>
  </si>
  <si>
    <t>Average FCF(5 Years)</t>
  </si>
  <si>
    <t>Average FCF(7 Years)</t>
  </si>
  <si>
    <t>FCF Growth YoY</t>
  </si>
  <si>
    <t>FCF/Sales</t>
  </si>
  <si>
    <t>FCF/Net Profit</t>
  </si>
  <si>
    <t>Debt/FCF</t>
  </si>
  <si>
    <t>Capital Employed</t>
  </si>
  <si>
    <t>Earnings(EBIT)</t>
  </si>
  <si>
    <t>ROCE</t>
  </si>
  <si>
    <t>Shareholders Fund</t>
  </si>
  <si>
    <t>ROE</t>
  </si>
  <si>
    <t>Free Cash Flow (est)</t>
  </si>
  <si>
    <t>Closing Cash &amp; Cash Equivalents</t>
  </si>
  <si>
    <t>Effect of FX</t>
  </si>
  <si>
    <t>Opening Cash &amp; Cash Equivalents</t>
  </si>
  <si>
    <t xml:space="preserve">            Dividend Paid</t>
  </si>
  <si>
    <t xml:space="preserve">            Interest Paid</t>
  </si>
  <si>
    <t xml:space="preserve">                    Repayment From Borrowings</t>
  </si>
  <si>
    <t xml:space="preserve">                    Proceeds From Borrowings</t>
  </si>
  <si>
    <t xml:space="preserve">            Net Long Term Borrowings</t>
  </si>
  <si>
    <t xml:space="preserve">            Proceeds From Shares</t>
  </si>
  <si>
    <t xml:space="preserve">            Subsidiary Investments</t>
  </si>
  <si>
    <t xml:space="preserve">            Dividends Recieved</t>
  </si>
  <si>
    <t xml:space="preserve">            Interest Recieved</t>
  </si>
  <si>
    <t xml:space="preserve">            Investment Sold</t>
  </si>
  <si>
    <t xml:space="preserve">            Investment Purchased</t>
  </si>
  <si>
    <t xml:space="preserve">                    Fixed Assets Sold</t>
  </si>
  <si>
    <t xml:space="preserve">                    Fixed Assets Purchased</t>
  </si>
  <si>
    <t xml:space="preserve">            Net Fixed Assets Purchased</t>
  </si>
  <si>
    <t xml:space="preserve">            Taxes Paid</t>
  </si>
  <si>
    <t xml:space="preserve">            Working Capital Changes</t>
  </si>
  <si>
    <t xml:space="preserve">            OCF Before Working Capital</t>
  </si>
  <si>
    <t xml:space="preserve">            Adjustments</t>
  </si>
  <si>
    <t xml:space="preserve">            Profit Before Tax</t>
  </si>
  <si>
    <t>Mar 2025</t>
  </si>
  <si>
    <t>Mar 2024</t>
  </si>
  <si>
    <t>Mar 2023</t>
  </si>
  <si>
    <t>Mar 2022</t>
  </si>
  <si>
    <t>Mar 2021</t>
  </si>
  <si>
    <t>Mar 2020</t>
  </si>
  <si>
    <t>Mar 2019</t>
  </si>
  <si>
    <t>Mar 2018</t>
  </si>
  <si>
    <t>Mar 2017</t>
  </si>
  <si>
    <t>Mar 2016</t>
  </si>
  <si>
    <t>YEAR</t>
  </si>
  <si>
    <t>FCF(Rs Cr)</t>
  </si>
  <si>
    <t>PV of FCF(RS Cr)</t>
  </si>
  <si>
    <t>Excess Cash (Latest)</t>
  </si>
  <si>
    <t>FY26</t>
  </si>
  <si>
    <t>FY27</t>
  </si>
  <si>
    <t>FY28</t>
  </si>
  <si>
    <t>FY29</t>
  </si>
  <si>
    <t>FY30</t>
  </si>
  <si>
    <t>FY31</t>
  </si>
  <si>
    <t>FY32</t>
  </si>
  <si>
    <t>FY33</t>
  </si>
  <si>
    <t>FY34</t>
  </si>
  <si>
    <t>Dhandho IV - Lower Range</t>
  </si>
  <si>
    <t>Intrensic Value(MCAP)</t>
  </si>
  <si>
    <t>Discounted Price</t>
  </si>
  <si>
    <t>Current Mkt Cap</t>
  </si>
  <si>
    <t>Premium (Discount) to IV</t>
  </si>
  <si>
    <t>Dhandho IV - Higher Range</t>
  </si>
  <si>
    <t>Annual FCF Growth</t>
  </si>
  <si>
    <t>Year 1-3</t>
  </si>
  <si>
    <t>Year4-6</t>
  </si>
  <si>
    <t>Year 7-10</t>
  </si>
  <si>
    <t>Discount Rate</t>
  </si>
  <si>
    <t>Cash /bank</t>
  </si>
  <si>
    <t>FY35</t>
  </si>
  <si>
    <t>Premium/(Discount) to IV</t>
  </si>
  <si>
    <t>TIME MACHINE VALUATION OF AS ON July'2025</t>
  </si>
  <si>
    <t>BACKWARD THINKING APPROACH</t>
  </si>
  <si>
    <t>ASSUMPTIONS</t>
  </si>
  <si>
    <t>DISCOUNT RATE (k)</t>
  </si>
  <si>
    <t>TERMINAL GROWTH RATE (g)(ANNUAL)</t>
  </si>
  <si>
    <t xml:space="preserve"> </t>
  </si>
  <si>
    <t>ACTUAL GROWTH RATE(PBT)</t>
  </si>
  <si>
    <t>DECCRIPTION</t>
  </si>
  <si>
    <t>PBT</t>
  </si>
  <si>
    <t>PV FACTOR</t>
  </si>
  <si>
    <t>PRESENT VALUE (IN CR)</t>
  </si>
  <si>
    <t>PE</t>
  </si>
  <si>
    <t>EARNINGS FOR FY 18-19</t>
  </si>
  <si>
    <t>EARNINGS FOR FY 19-20</t>
  </si>
  <si>
    <t>EARNINGS FOR FY 20-21</t>
  </si>
  <si>
    <t>EARNINGS FOR FY 21-22</t>
  </si>
  <si>
    <t>EARNINGS FOR FY 22-23</t>
  </si>
  <si>
    <t>EARNINGS FOR FY 23-23</t>
  </si>
  <si>
    <t>EARNINGS FOR FY 24-25</t>
  </si>
  <si>
    <t>VALUE OF EXPLICIT FORECAST PERIOD</t>
  </si>
  <si>
    <t>TERMINAL VALUE</t>
  </si>
  <si>
    <t xml:space="preserve">FAIR VALUE MCAP </t>
  </si>
  <si>
    <t>FACE VALUE</t>
  </si>
  <si>
    <t>=</t>
  </si>
  <si>
    <t>LAST YEAR EARNING/(k-g)</t>
  </si>
  <si>
    <t>No. of O/S shares</t>
  </si>
  <si>
    <t>SHARE CAPITAL IN 2022</t>
  </si>
  <si>
    <t>PRICE IN MAY 2022</t>
  </si>
  <si>
    <t>MCAP IN MAY 2022</t>
  </si>
  <si>
    <t>FAIR VALUE PER SHARE</t>
  </si>
  <si>
    <t>ASSUMED GROWTH RATE</t>
  </si>
  <si>
    <t>ACTUAL GROWTH RATE</t>
  </si>
  <si>
    <t>FORWARD THINKING APPROACH</t>
  </si>
  <si>
    <t>EARNINGS FOR FY 25-26</t>
  </si>
  <si>
    <t>EARNINGS FOR FY 26-27</t>
  </si>
  <si>
    <t>EARNINGS FOR FY 27-28</t>
  </si>
  <si>
    <t>EARNINGS FOR FY 28-29</t>
  </si>
  <si>
    <t>EARNINGS FOR FY 29-30</t>
  </si>
  <si>
    <t>EARNINGS FOR FY 30-31</t>
  </si>
  <si>
    <t>EARNINGS FOR FY 31-32</t>
  </si>
  <si>
    <t>EARNINGS FOR FY 32-33</t>
  </si>
  <si>
    <t>EARNINGS FOR FY 33-34</t>
  </si>
  <si>
    <t>FAIR VALUE MCAP</t>
  </si>
  <si>
    <t>FULLY DILUTED EQUITY SHARES (IN CRORES)</t>
  </si>
  <si>
    <t>PRICE in June, 2025</t>
  </si>
  <si>
    <t>SHARE CAPITAL IN 2025</t>
  </si>
  <si>
    <t>MCAP IN JUNE 2025</t>
  </si>
  <si>
    <t>FAIR VALUE PER SHARE ( 10 YEARS FROM NOW)</t>
  </si>
  <si>
    <t>Today</t>
  </si>
  <si>
    <t xml:space="preserve">EPS (2035) </t>
  </si>
  <si>
    <t xml:space="preserve">Forward PE (2035) </t>
  </si>
  <si>
    <t>]</t>
  </si>
  <si>
    <t>Ben Graham Formula (Low Range)</t>
  </si>
  <si>
    <t>Ben Graham Formula (High Range)</t>
  </si>
  <si>
    <t>Company Name</t>
  </si>
  <si>
    <t>Year Ended</t>
  </si>
  <si>
    <t>Avg 4-Yr Net Profit (Rs Crore)</t>
  </si>
  <si>
    <t>PE Ratio at 0% Growth</t>
  </si>
  <si>
    <t>Long-Term Growth Rate</t>
  </si>
  <si>
    <t>Ben Graham Value (Rs Crore)</t>
  </si>
  <si>
    <t xml:space="preserve">Ben Graham Price </t>
  </si>
  <si>
    <t>Current Market Cap (Rs Crore)</t>
  </si>
  <si>
    <t>EXPLANATION</t>
  </si>
  <si>
    <t>Ben Graham's Original Formula: Value = EPS x (8.5 + 2G)</t>
  </si>
  <si>
    <t>Here, EPS is the trailing 12 month EPS, 8.5 is the P/E ratio of a stock with 0% growth and g is the growth rate for the next 7-10 years</t>
  </si>
  <si>
    <t>Ben Graham's Revised Formula: Value = [EPS x (8.5 + 2G) x 4.4] / Y</t>
  </si>
  <si>
    <t>Here, 4.4 is what Graham determined to be his minimum required rate of return. At the time of around 1962 when Graham was publicizing his works, the risk free interest rate was 4.4% but to adjust to the present, we divide this number by today’s AAA corporate bond rate, represented by Y in the formula above.</t>
  </si>
  <si>
    <t>Note: I have used Graham's original formula in the above calculations</t>
  </si>
  <si>
    <t>EARNINGS FOR FY 34-35</t>
  </si>
  <si>
    <t>Expected Returns Model</t>
  </si>
  <si>
    <t>Particulars</t>
  </si>
  <si>
    <t>CAGR (3-Yr)</t>
  </si>
  <si>
    <t>CAGR (7-Yr)</t>
  </si>
  <si>
    <t>Net Profit (Rs Crore)</t>
  </si>
  <si>
    <r>
      <t>Calculations</t>
    </r>
    <r>
      <rPr>
        <sz val="10"/>
        <color rgb="FFC00000"/>
        <rFont val="Arial"/>
        <family val="2"/>
      </rPr>
      <t xml:space="preserve"> </t>
    </r>
    <r>
      <rPr>
        <i/>
        <sz val="10"/>
        <color theme="1"/>
        <rFont val="Arial"/>
        <family val="2"/>
      </rPr>
      <t>(Enter values only in Dark cells)</t>
    </r>
  </si>
  <si>
    <t>Higher</t>
  </si>
  <si>
    <t>Estimated Net Profit after 10 years (Rs Cr)</t>
  </si>
  <si>
    <t>Current P/E (x)</t>
  </si>
  <si>
    <t>Exit P/E in the 10th year from now (x, Estimated)</t>
  </si>
  <si>
    <t>Esti. Market Cap (10th year from now; Rs Cr)</t>
  </si>
  <si>
    <t>Cost of Capital/Discount Rate</t>
  </si>
  <si>
    <t>Discounted MCAP (Rs Cr)</t>
  </si>
  <si>
    <t>Discounted Price (Rs)</t>
  </si>
  <si>
    <t>Current Market Cap (Rs Cr)</t>
  </si>
  <si>
    <t>Lower</t>
  </si>
  <si>
    <t>Estimated CAGR in Net Profit over next 5 years</t>
  </si>
  <si>
    <t>Estimated Net Profit after 5 years (Rs Cr)</t>
  </si>
  <si>
    <t>Exit P/E in the 5th year from now (x, Estimated)</t>
  </si>
  <si>
    <t>Esti. Market Cap (5th year from now; Rs Cr)</t>
  </si>
  <si>
    <t>Estimated CAGR in Net Profit over next 7 years</t>
  </si>
  <si>
    <t>CMP</t>
  </si>
  <si>
    <t>FCFE = EPS - (Capex-Dep)*(1-DR) - (Change in WC)*(1-DR)</t>
  </si>
  <si>
    <t xml:space="preserve">CAPM = Rf+B(Rm-Rf) </t>
  </si>
  <si>
    <t>PV of Terminal Value</t>
  </si>
  <si>
    <t>PV</t>
  </si>
  <si>
    <t>Terminal Value</t>
  </si>
  <si>
    <t xml:space="preserve">Terminal Growth Rate </t>
  </si>
  <si>
    <t xml:space="preserve">Debt Ratio </t>
  </si>
  <si>
    <t>No. Of Shares</t>
  </si>
  <si>
    <t>Dep</t>
  </si>
  <si>
    <t>Beta for high growth period</t>
  </si>
  <si>
    <t>Price in 2035</t>
  </si>
  <si>
    <t>Capex</t>
  </si>
  <si>
    <t>(Per Share)</t>
  </si>
  <si>
    <t>Growth every year decline</t>
  </si>
  <si>
    <t>Market Return (Rm)</t>
  </si>
  <si>
    <t xml:space="preserve">MCAP </t>
  </si>
  <si>
    <t xml:space="preserve">Risk Free Rate (Rf) </t>
  </si>
  <si>
    <t>Growth Rate till 2025</t>
  </si>
  <si>
    <t>PV of FCFE</t>
  </si>
  <si>
    <t>FCFE</t>
  </si>
  <si>
    <t>(Capex - Dep)(1- DR)</t>
  </si>
  <si>
    <t>(Change in WC)(1- Debt Ratio)</t>
  </si>
  <si>
    <t>Change in WC</t>
  </si>
  <si>
    <t>WC/shares = NCAVPS</t>
  </si>
  <si>
    <t>(Capex-Dep)/Shares outstanding</t>
  </si>
  <si>
    <t>CAPM</t>
  </si>
  <si>
    <t>Beta</t>
  </si>
  <si>
    <t>Growth Rate</t>
  </si>
  <si>
    <t>Year</t>
  </si>
  <si>
    <t>S.No</t>
  </si>
  <si>
    <t>Market Return</t>
  </si>
  <si>
    <t>Risk Free Rate</t>
  </si>
  <si>
    <t>WC/shares</t>
  </si>
  <si>
    <t>Dicounted Cash Flow Valuation</t>
  </si>
  <si>
    <t>Initial Cash Flow (Rs Cr)</t>
  </si>
  <si>
    <t>Years</t>
  </si>
  <si>
    <t>1-5</t>
  </si>
  <si>
    <t>6-10</t>
  </si>
  <si>
    <t>FCF Growth Rate</t>
  </si>
  <si>
    <t>Terminal Growth Rate</t>
  </si>
  <si>
    <t>Net Debt Level (Rs Cr)</t>
  </si>
  <si>
    <t>Growth</t>
  </si>
  <si>
    <t>Present Value</t>
  </si>
  <si>
    <t>Final Calculations - Higher Value</t>
  </si>
  <si>
    <t>Final Calculations - Lower Range</t>
  </si>
  <si>
    <t>Terminal Year</t>
  </si>
  <si>
    <t>TV = Terminal Year Value/(K-g)/(1+K)^n</t>
  </si>
  <si>
    <t>PV of Year 1-10 Cash Flows</t>
  </si>
  <si>
    <t>Total PV of Cash Flows</t>
  </si>
  <si>
    <t>MCAP/DCF %</t>
  </si>
  <si>
    <t xml:space="preserve">DCF Price </t>
  </si>
  <si>
    <r>
      <rPr>
        <b/>
        <sz val="10"/>
        <color theme="1"/>
        <rFont val="Arial"/>
        <family val="2"/>
      </rPr>
      <t>Explanation:</t>
    </r>
    <r>
      <rPr>
        <sz val="10"/>
        <color theme="1"/>
        <rFont val="Arial"/>
        <family val="2"/>
      </rPr>
      <t xml:space="preserve">  Considering the above range, we can say that LICI IV range is between Rs. 12,55,024 crore to Rs. 1,18,65,210 crore. It's a big range, but that's fine (who is looking for precision?). Now, if the current market cap is within this IV range, it makes the stock reasonably/attractively priced. If the current market cap is higher then the higher value of the range, it makes it overpriced. But remember, these are just numbers!</t>
    </r>
  </si>
  <si>
    <t>Premium or Discount</t>
  </si>
  <si>
    <t>Current Market Cap.</t>
  </si>
  <si>
    <t>Best Price to Accumulate</t>
  </si>
  <si>
    <t>Average MCAP</t>
  </si>
  <si>
    <t>MCAP</t>
  </si>
  <si>
    <t>FBTA - TVM - CMMM</t>
  </si>
  <si>
    <t>Expected Return</t>
  </si>
  <si>
    <t>DCF</t>
  </si>
  <si>
    <t>Ben Graham</t>
  </si>
  <si>
    <t>Dhandho</t>
  </si>
  <si>
    <r>
      <rPr>
        <b/>
        <sz val="10"/>
        <color rgb="FFC00000"/>
        <rFont val="Arial"/>
        <family val="2"/>
      </rPr>
      <t>Remember!</t>
    </r>
    <r>
      <rPr>
        <b/>
        <sz val="10"/>
        <color theme="1"/>
        <rFont val="Arial"/>
        <family val="2"/>
      </rPr>
      <t xml:space="preserve"> Give importance to a stock's valuations / fair value only "after" you have answered in "Yes" to these two questions - (1) Is this business simple to be understood? and (2) Can I understand this business?
Don't try to quantify everything. In stock research, the less non-mathematical you are, the more simple, sensible, and useful will be your analysis and results. Great analysis is generally "back-of-the-envelope".
Also, your calculated "fair value" will be proven wrong in the future, so don't invest your savings just because you fall in love with it. Don't look for perfection. It is overrated. Focus on decisions, not outcomes. Look for disconfirming evidence.</t>
    </r>
  </si>
  <si>
    <t>Intrinsic Value Range</t>
  </si>
  <si>
    <t>Free Cash Flow Of Firm</t>
  </si>
  <si>
    <t>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</si>
</sst>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_);[Red]\(&quot;$&quot;#,##0\)"/>
    <numFmt numFmtId="43" formatCode="_(* #,##0.00_);_(* \(#,##0.00\);_(* &quot;-&quot;??_);_(@_)"/>
    <numFmt numFmtId="164" formatCode="_ * #,##0.00_ ;_ * \-#,##0.00_ ;_ * &quot;-&quot;??_ ;_ @_ "/>
    <numFmt numFmtId="165" formatCode="[$-409]mmm\-yy;@"/>
    <numFmt numFmtId="166" formatCode="_(* #,##0.0000_);_(* \(#,##0.0000\);_(* &quot;-&quot;??_);_(@_)"/>
    <numFmt numFmtId="167" formatCode="_ * #,##0_ ;_ * \-#,##0_ ;_ * &quot;-&quot;??_ ;_ @_ "/>
    <numFmt numFmtId="168" formatCode="0.0%"/>
    <numFmt numFmtId="169" formatCode="_ * #,##0.0_ ;_ * \-#,##0.0_ ;_ * &quot;-&quot;??_ ;_ @_ "/>
    <numFmt numFmtId="170" formatCode="0.0000"/>
    <numFmt numFmtId="171" formatCode="[$-409]mmm/yy;@"/>
    <numFmt numFmtId="172" formatCode="_(* #,##0.0_);_(* \(#,##0.0\);_(* &quot;-&quot;??_);_(@_)"/>
    <numFmt numFmtId="173" formatCode="_(* #,##0_);_(* \(#,##0\);_(* &quot;-&quot;??_);_(@_)"/>
    <numFmt numFmtId="174" formatCode="0.0000%"/>
    <numFmt numFmtId="175" formatCode="0.00000"/>
    <numFmt numFmtId="176" formatCode="#,##0.000_);[Red]\(#,##0.000\)"/>
    <numFmt numFmtId="177" formatCode="0.0"/>
  </numFmts>
  <fonts count="33"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sz val="11"/>
      <color rgb="FFFF0000"/>
      <name val="Calibri"/>
      <family val="2"/>
      <scheme val="minor"/>
    </font>
    <font>
      <sz val="11"/>
      <name val="Calibri"/>
      <family val="2"/>
      <scheme val="minor"/>
    </font>
    <font>
      <b/>
      <sz val="15"/>
      <color theme="1"/>
      <name val="Arial"/>
      <family val="2"/>
    </font>
    <font>
      <sz val="10"/>
      <color theme="1"/>
      <name val="Arial"/>
      <family val="2"/>
    </font>
    <font>
      <b/>
      <sz val="10"/>
      <color theme="1"/>
      <name val="Arial"/>
      <family val="2"/>
    </font>
    <font>
      <b/>
      <sz val="10"/>
      <color theme="0"/>
      <name val="Arial"/>
      <family val="2"/>
    </font>
    <font>
      <i/>
      <sz val="10"/>
      <color theme="1"/>
      <name val="Arial"/>
      <family val="2"/>
    </font>
    <font>
      <b/>
      <sz val="11"/>
      <name val="Calibri"/>
      <family val="2"/>
    </font>
    <font>
      <sz val="12"/>
      <color theme="1"/>
      <name val="Calibri"/>
      <family val="2"/>
      <scheme val="minor"/>
    </font>
    <font>
      <b/>
      <sz val="12"/>
      <color theme="1"/>
      <name val="Calibri"/>
      <family val="2"/>
      <scheme val="minor"/>
    </font>
    <font>
      <b/>
      <sz val="22"/>
      <color theme="0"/>
      <name val="Calibri"/>
      <family val="2"/>
      <scheme val="minor"/>
    </font>
    <font>
      <b/>
      <sz val="20"/>
      <color theme="1"/>
      <name val="Calibri"/>
      <family val="2"/>
      <scheme val="minor"/>
    </font>
    <font>
      <b/>
      <sz val="14"/>
      <color rgb="FFFFFF00"/>
      <name val="Calibri"/>
      <family val="2"/>
      <scheme val="minor"/>
    </font>
    <font>
      <b/>
      <u/>
      <sz val="12"/>
      <color theme="1"/>
      <name val="Calibri"/>
      <family val="2"/>
      <scheme val="minor"/>
    </font>
    <font>
      <b/>
      <sz val="10"/>
      <color rgb="FFC00000"/>
      <name val="Arial"/>
      <family val="2"/>
    </font>
    <font>
      <b/>
      <i/>
      <sz val="10"/>
      <color theme="1"/>
      <name val="Arial"/>
      <family val="2"/>
    </font>
    <font>
      <sz val="10"/>
      <color theme="1"/>
      <name val="Calibri"/>
      <family val="2"/>
      <scheme val="minor"/>
    </font>
    <font>
      <sz val="10"/>
      <color rgb="FFC00000"/>
      <name val="Arial"/>
      <family val="2"/>
    </font>
    <font>
      <sz val="10"/>
      <color theme="0"/>
      <name val="Arial"/>
      <family val="2"/>
    </font>
    <font>
      <sz val="16"/>
      <color theme="0"/>
      <name val="Calibri"/>
      <family val="2"/>
      <scheme val="minor"/>
    </font>
    <font>
      <i/>
      <sz val="10"/>
      <color rgb="FFC00000"/>
      <name val="Arial"/>
      <family val="2"/>
    </font>
    <font>
      <b/>
      <sz val="10"/>
      <name val="Arial"/>
      <family val="2"/>
    </font>
    <font>
      <sz val="10"/>
      <name val="Arial"/>
      <family val="2"/>
    </font>
    <font>
      <sz val="9"/>
      <color rgb="FF000000"/>
      <name val="Tahoma"/>
      <family val="2"/>
    </font>
    <font>
      <b/>
      <sz val="9"/>
      <color rgb="FF000000"/>
      <name val="Tahoma"/>
      <family val="2"/>
    </font>
    <font>
      <b/>
      <i/>
      <sz val="9"/>
      <color rgb="FF000000"/>
      <name val="Tahoma"/>
      <family val="2"/>
    </font>
    <font>
      <u/>
      <sz val="10"/>
      <color rgb="FF0070C0"/>
      <name val="Arial"/>
      <family val="2"/>
    </font>
  </fonts>
  <fills count="39">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FFFF00"/>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4" tint="0.39994506668294322"/>
        <bgColor indexed="64"/>
      </patternFill>
    </fill>
    <fill>
      <patternFill patternType="solid">
        <fgColor theme="5" tint="0.79998168889431442"/>
        <bgColor indexed="64"/>
      </patternFill>
    </fill>
    <fill>
      <patternFill patternType="solid">
        <fgColor theme="6" tint="0.39994506668294322"/>
        <bgColor indexed="64"/>
      </patternFill>
    </fill>
    <fill>
      <patternFill patternType="solid">
        <fgColor theme="2" tint="-9.9948118533890809E-2"/>
        <bgColor indexed="64"/>
      </patternFill>
    </fill>
    <fill>
      <patternFill patternType="solid">
        <fgColor theme="4"/>
        <bgColor indexed="64"/>
      </patternFill>
    </fill>
    <fill>
      <patternFill patternType="solid">
        <fgColor rgb="FFFFC000"/>
        <bgColor rgb="FFFFC000"/>
      </patternFill>
    </fill>
    <fill>
      <patternFill patternType="solid">
        <fgColor rgb="FF90EE90"/>
        <bgColor rgb="FF90EE90"/>
      </patternFill>
    </fill>
    <fill>
      <patternFill patternType="solid">
        <fgColor rgb="FFADD8E6"/>
        <bgColor rgb="FFADD8E6"/>
      </patternFill>
    </fill>
    <fill>
      <patternFill patternType="solid">
        <fgColor theme="0"/>
        <bgColor indexed="64"/>
      </patternFill>
    </fill>
    <fill>
      <patternFill patternType="solid">
        <fgColor theme="2" tint="-0.249977111117893"/>
        <bgColor indexed="64"/>
      </patternFill>
    </fill>
    <fill>
      <patternFill patternType="solid">
        <fgColor rgb="FFFF00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2"/>
        <bgColor indexed="64"/>
      </patternFill>
    </fill>
    <fill>
      <patternFill patternType="solid">
        <fgColor theme="2" tint="-9.9978637043366805E-2"/>
        <bgColor indexed="64"/>
      </patternFill>
    </fill>
    <fill>
      <patternFill patternType="solid">
        <fgColor rgb="FF7030A0"/>
        <bgColor indexed="64"/>
      </patternFill>
    </fill>
    <fill>
      <patternFill patternType="solid">
        <fgColor rgb="FF00B0F0"/>
        <bgColor indexed="64"/>
      </patternFill>
    </fill>
    <fill>
      <patternFill patternType="solid">
        <fgColor rgb="FF0070C0"/>
        <bgColor indexed="64"/>
      </patternFill>
    </fill>
    <fill>
      <patternFill patternType="solid">
        <fgColor theme="8"/>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00B050"/>
        <bgColor indexed="64"/>
      </patternFill>
    </fill>
    <fill>
      <patternFill patternType="solid">
        <fgColor theme="7"/>
        <bgColor indexed="64"/>
      </patternFill>
    </fill>
    <fill>
      <patternFill patternType="solid">
        <fgColor theme="0" tint="-0.249977111117893"/>
        <bgColor indexed="64"/>
      </patternFill>
    </fill>
  </fills>
  <borders count="40">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right style="medium">
        <color auto="1"/>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style="thin">
        <color auto="1"/>
      </top>
      <bottom/>
      <diagonal/>
    </border>
    <border>
      <left/>
      <right style="thin">
        <color auto="1"/>
      </right>
      <top style="thin">
        <color auto="1"/>
      </top>
      <bottom style="thin">
        <color auto="1"/>
      </bottom>
      <diagonal/>
    </border>
  </borders>
  <cellStyleXfs count="11">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14" fillId="0" borderId="0"/>
    <xf numFmtId="0" fontId="14" fillId="0" borderId="0"/>
    <xf numFmtId="164" fontId="3" fillId="0" borderId="0" applyFont="0" applyFill="0" applyBorder="0" applyAlignment="0" applyProtection="0"/>
  </cellStyleXfs>
  <cellXfs count="330">
    <xf numFmtId="0" fontId="0" fillId="0" borderId="0" xfId="0"/>
    <xf numFmtId="164" fontId="1" fillId="0" borderId="0" xfId="1" applyFont="1" applyBorder="1"/>
    <xf numFmtId="0" fontId="1" fillId="0" borderId="0" xfId="0" applyFont="1"/>
    <xf numFmtId="0" fontId="6" fillId="0" borderId="0" xfId="0" applyFont="1"/>
    <xf numFmtId="164" fontId="0" fillId="0" borderId="0" xfId="1" applyFont="1" applyBorder="1"/>
    <xf numFmtId="10" fontId="0" fillId="0" borderId="0" xfId="0" applyNumberFormat="1"/>
    <xf numFmtId="164" fontId="3" fillId="0" borderId="0" xfId="1" applyFont="1" applyBorder="1"/>
    <xf numFmtId="9" fontId="3" fillId="0" borderId="0" xfId="1" applyNumberFormat="1" applyFont="1" applyBorder="1"/>
    <xf numFmtId="164" fontId="2" fillId="2" borderId="0" xfId="3" applyNumberFormat="1" applyFont="1" applyBorder="1"/>
    <xf numFmtId="164" fontId="2" fillId="3" borderId="0" xfId="4" applyNumberFormat="1" applyFont="1" applyBorder="1"/>
    <xf numFmtId="9" fontId="1" fillId="0" borderId="0" xfId="6" applyFont="1" applyBorder="1"/>
    <xf numFmtId="0" fontId="2" fillId="5" borderId="0" xfId="0" applyFont="1" applyFill="1"/>
    <xf numFmtId="165" fontId="2" fillId="5" borderId="0" xfId="0" applyNumberFormat="1" applyFont="1" applyFill="1" applyAlignment="1">
      <alignment horizontal="center"/>
    </xf>
    <xf numFmtId="0" fontId="2" fillId="5" borderId="0" xfId="0" applyFont="1" applyFill="1" applyAlignment="1">
      <alignment horizontal="center"/>
    </xf>
    <xf numFmtId="164" fontId="0" fillId="0" borderId="0" xfId="1" applyFont="1" applyBorder="1" applyAlignment="1">
      <alignment horizontal="center"/>
    </xf>
    <xf numFmtId="164" fontId="1" fillId="0" borderId="0" xfId="1" applyFont="1" applyBorder="1" applyAlignment="1">
      <alignment horizontal="center"/>
    </xf>
    <xf numFmtId="10" fontId="1" fillId="0" borderId="0" xfId="0" applyNumberFormat="1" applyFont="1"/>
    <xf numFmtId="165" fontId="2" fillId="5" borderId="0" xfId="1" applyNumberFormat="1" applyFont="1" applyFill="1" applyBorder="1"/>
    <xf numFmtId="165" fontId="7" fillId="0" borderId="0" xfId="1" applyNumberFormat="1" applyFont="1" applyFill="1" applyBorder="1"/>
    <xf numFmtId="0" fontId="7" fillId="0" borderId="0" xfId="0" applyFont="1"/>
    <xf numFmtId="43" fontId="0" fillId="0" borderId="0" xfId="1" applyNumberFormat="1" applyFont="1" applyBorder="1"/>
    <xf numFmtId="9" fontId="0" fillId="0" borderId="0" xfId="6" applyFont="1" applyFill="1" applyBorder="1"/>
    <xf numFmtId="0" fontId="1" fillId="7" borderId="0" xfId="0" applyFont="1" applyFill="1"/>
    <xf numFmtId="4" fontId="0" fillId="0" borderId="0" xfId="0" applyNumberFormat="1"/>
    <xf numFmtId="164" fontId="0" fillId="0" borderId="0" xfId="0" applyNumberFormat="1"/>
    <xf numFmtId="10" fontId="0" fillId="0" borderId="0" xfId="6" applyNumberFormat="1" applyFont="1"/>
    <xf numFmtId="0" fontId="1" fillId="6" borderId="0" xfId="0" applyFont="1" applyFill="1"/>
    <xf numFmtId="166" fontId="0" fillId="0" borderId="0" xfId="6" applyNumberFormat="1" applyFont="1"/>
    <xf numFmtId="2" fontId="0" fillId="0" borderId="0" xfId="6" applyNumberFormat="1" applyFont="1"/>
    <xf numFmtId="0" fontId="11" fillId="5" borderId="5" xfId="0" applyFont="1" applyFill="1" applyBorder="1"/>
    <xf numFmtId="0" fontId="10" fillId="0" borderId="7" xfId="0" applyFont="1" applyBorder="1"/>
    <xf numFmtId="0" fontId="12" fillId="7" borderId="7" xfId="0" applyFont="1" applyFill="1" applyBorder="1"/>
    <xf numFmtId="0" fontId="9" fillId="0" borderId="7" xfId="0" applyFont="1" applyBorder="1"/>
    <xf numFmtId="164" fontId="12" fillId="0" borderId="7" xfId="7" applyFont="1" applyBorder="1" applyAlignment="1">
      <alignment horizontal="left" indent="1"/>
    </xf>
    <xf numFmtId="0" fontId="12" fillId="6" borderId="7" xfId="0" applyFont="1" applyFill="1" applyBorder="1"/>
    <xf numFmtId="0" fontId="12" fillId="9" borderId="7" xfId="0" applyFont="1" applyFill="1" applyBorder="1"/>
    <xf numFmtId="0" fontId="12" fillId="10" borderId="7" xfId="0" applyFont="1" applyFill="1" applyBorder="1"/>
    <xf numFmtId="0" fontId="12" fillId="11" borderId="7" xfId="0" applyFont="1" applyFill="1" applyBorder="1"/>
    <xf numFmtId="0" fontId="12" fillId="12" borderId="7" xfId="0" applyFont="1" applyFill="1" applyBorder="1"/>
    <xf numFmtId="0" fontId="12" fillId="13" borderId="7" xfId="0" applyFont="1" applyFill="1" applyBorder="1"/>
    <xf numFmtId="0" fontId="9" fillId="6" borderId="7" xfId="0" applyFont="1" applyFill="1" applyBorder="1"/>
    <xf numFmtId="0" fontId="9" fillId="0" borderId="9" xfId="0" applyFont="1" applyBorder="1"/>
    <xf numFmtId="0" fontId="9" fillId="0" borderId="0" xfId="0" applyFont="1"/>
    <xf numFmtId="0" fontId="10" fillId="0" borderId="0" xfId="0" applyFont="1"/>
    <xf numFmtId="165" fontId="11" fillId="5" borderId="6" xfId="0" applyNumberFormat="1" applyFont="1" applyFill="1" applyBorder="1" applyAlignment="1">
      <alignment horizontal="center"/>
    </xf>
    <xf numFmtId="167" fontId="10" fillId="0" borderId="8" xfId="7" applyNumberFormat="1" applyFont="1" applyBorder="1"/>
    <xf numFmtId="9" fontId="10" fillId="7" borderId="8" xfId="6" applyFont="1" applyFill="1" applyBorder="1"/>
    <xf numFmtId="167" fontId="9" fillId="0" borderId="8" xfId="7" applyNumberFormat="1" applyFont="1" applyBorder="1"/>
    <xf numFmtId="9" fontId="12" fillId="0" borderId="8" xfId="6" applyFont="1" applyBorder="1"/>
    <xf numFmtId="10" fontId="12" fillId="0" borderId="8" xfId="6" applyNumberFormat="1" applyFont="1" applyBorder="1"/>
    <xf numFmtId="10" fontId="12" fillId="6" borderId="8" xfId="6" applyNumberFormat="1" applyFont="1" applyFill="1" applyBorder="1"/>
    <xf numFmtId="168" fontId="12" fillId="9" borderId="8" xfId="7" applyNumberFormat="1" applyFont="1" applyFill="1" applyBorder="1"/>
    <xf numFmtId="164" fontId="9" fillId="0" borderId="8" xfId="7" applyFont="1" applyBorder="1"/>
    <xf numFmtId="167" fontId="12" fillId="10" borderId="8" xfId="7" applyNumberFormat="1" applyFont="1" applyFill="1" applyBorder="1"/>
    <xf numFmtId="10" fontId="9" fillId="0" borderId="0" xfId="6" applyNumberFormat="1" applyFont="1" applyBorder="1"/>
    <xf numFmtId="9" fontId="10" fillId="11" borderId="8" xfId="6" applyFont="1" applyFill="1" applyBorder="1"/>
    <xf numFmtId="9" fontId="12" fillId="12" borderId="8" xfId="6" applyFont="1" applyFill="1" applyBorder="1"/>
    <xf numFmtId="9" fontId="10" fillId="0" borderId="0" xfId="6" applyFont="1" applyBorder="1"/>
    <xf numFmtId="9" fontId="12" fillId="13" borderId="8" xfId="6" applyFont="1" applyFill="1" applyBorder="1"/>
    <xf numFmtId="9" fontId="10" fillId="6" borderId="8" xfId="6" applyFont="1" applyFill="1" applyBorder="1"/>
    <xf numFmtId="169" fontId="9" fillId="6" borderId="8" xfId="7" applyNumberFormat="1" applyFont="1" applyFill="1" applyBorder="1"/>
    <xf numFmtId="0" fontId="10" fillId="0" borderId="8" xfId="7" applyNumberFormat="1" applyFont="1" applyBorder="1"/>
    <xf numFmtId="168" fontId="9" fillId="0" borderId="8" xfId="0" applyNumberFormat="1" applyFont="1" applyBorder="1"/>
    <xf numFmtId="167" fontId="9" fillId="14" borderId="10" xfId="7" applyNumberFormat="1" applyFont="1" applyFill="1" applyBorder="1"/>
    <xf numFmtId="10" fontId="9" fillId="0" borderId="0" xfId="0" applyNumberFormat="1" applyFont="1"/>
    <xf numFmtId="0" fontId="9" fillId="0" borderId="0" xfId="6" applyNumberFormat="1" applyFont="1" applyBorder="1"/>
    <xf numFmtId="164" fontId="9" fillId="0" borderId="0" xfId="0" applyNumberFormat="1" applyFont="1"/>
    <xf numFmtId="167" fontId="9" fillId="0" borderId="0" xfId="0" applyNumberFormat="1" applyFont="1"/>
    <xf numFmtId="10" fontId="10" fillId="7" borderId="8" xfId="6" applyNumberFormat="1" applyFont="1" applyFill="1" applyBorder="1"/>
    <xf numFmtId="167" fontId="0" fillId="0" borderId="0" xfId="0" applyNumberFormat="1"/>
    <xf numFmtId="0" fontId="13" fillId="15" borderId="8" xfId="0" applyFont="1" applyFill="1" applyBorder="1" applyAlignment="1">
      <alignment horizontal="left"/>
    </xf>
    <xf numFmtId="0" fontId="0" fillId="0" borderId="8" xfId="0" applyBorder="1" applyAlignment="1">
      <alignment horizontal="left"/>
    </xf>
    <xf numFmtId="9" fontId="0" fillId="0" borderId="0" xfId="6" applyFont="1"/>
    <xf numFmtId="0" fontId="13" fillId="0" borderId="8" xfId="0" applyFont="1" applyBorder="1" applyAlignment="1">
      <alignment horizontal="left"/>
    </xf>
    <xf numFmtId="0" fontId="13" fillId="16" borderId="8" xfId="0" applyFont="1" applyFill="1" applyBorder="1" applyAlignment="1">
      <alignment horizontal="left"/>
    </xf>
    <xf numFmtId="0" fontId="13" fillId="17" borderId="8" xfId="0" applyFont="1" applyFill="1" applyBorder="1" applyAlignment="1">
      <alignment horizontal="left"/>
    </xf>
    <xf numFmtId="0" fontId="0" fillId="0" borderId="8" xfId="0" applyBorder="1"/>
    <xf numFmtId="0" fontId="0" fillId="6" borderId="8" xfId="0" applyFill="1" applyBorder="1"/>
    <xf numFmtId="0" fontId="0" fillId="0" borderId="13" xfId="0" applyBorder="1"/>
    <xf numFmtId="0" fontId="0" fillId="0" borderId="15" xfId="0" applyBorder="1"/>
    <xf numFmtId="0" fontId="0" fillId="0" borderId="8" xfId="0" applyBorder="1" applyAlignment="1">
      <alignment horizontal="center"/>
    </xf>
    <xf numFmtId="9" fontId="0" fillId="0" borderId="14" xfId="0" applyNumberFormat="1" applyBorder="1"/>
    <xf numFmtId="10" fontId="0" fillId="0" borderId="16" xfId="0" applyNumberFormat="1" applyBorder="1"/>
    <xf numFmtId="164" fontId="0" fillId="0" borderId="8" xfId="0" applyNumberFormat="1" applyBorder="1"/>
    <xf numFmtId="9" fontId="0" fillId="0" borderId="8" xfId="6" applyFont="1" applyBorder="1"/>
    <xf numFmtId="0" fontId="14" fillId="0" borderId="0" xfId="8"/>
    <xf numFmtId="0" fontId="14" fillId="0" borderId="0" xfId="9"/>
    <xf numFmtId="0" fontId="19" fillId="21" borderId="0" xfId="9" applyFont="1" applyFill="1" applyAlignment="1">
      <alignment horizontal="right"/>
    </xf>
    <xf numFmtId="0" fontId="14" fillId="21" borderId="0" xfId="9" applyFill="1"/>
    <xf numFmtId="0" fontId="14" fillId="21" borderId="0" xfId="9" applyFill="1" applyAlignment="1">
      <alignment horizontal="right"/>
    </xf>
    <xf numFmtId="10" fontId="14" fillId="21" borderId="0" xfId="9" applyNumberFormat="1" applyFill="1"/>
    <xf numFmtId="9" fontId="14" fillId="21" borderId="0" xfId="9" applyNumberFormat="1" applyFill="1"/>
    <xf numFmtId="0" fontId="15" fillId="21" borderId="0" xfId="9" applyFont="1" applyFill="1"/>
    <xf numFmtId="10" fontId="15" fillId="21" borderId="0" xfId="9" applyNumberFormat="1" applyFont="1" applyFill="1"/>
    <xf numFmtId="170" fontId="14" fillId="0" borderId="0" xfId="9" applyNumberFormat="1"/>
    <xf numFmtId="10" fontId="14" fillId="0" borderId="0" xfId="6" applyNumberFormat="1" applyFont="1"/>
    <xf numFmtId="0" fontId="15" fillId="0" borderId="0" xfId="9" applyFont="1"/>
    <xf numFmtId="0" fontId="14" fillId="22" borderId="0" xfId="9" applyFill="1" applyAlignment="1">
      <alignment horizontal="center"/>
    </xf>
    <xf numFmtId="0" fontId="14" fillId="23" borderId="0" xfId="9" applyFill="1" applyAlignment="1">
      <alignment horizontal="center"/>
    </xf>
    <xf numFmtId="1" fontId="14" fillId="0" borderId="0" xfId="9" applyNumberFormat="1"/>
    <xf numFmtId="2" fontId="14" fillId="0" borderId="0" xfId="9" applyNumberFormat="1"/>
    <xf numFmtId="164" fontId="14" fillId="24" borderId="0" xfId="9" applyNumberFormat="1" applyFill="1"/>
    <xf numFmtId="0" fontId="15" fillId="0" borderId="0" xfId="9" applyFont="1" applyAlignment="1">
      <alignment horizontal="right"/>
    </xf>
    <xf numFmtId="2" fontId="15" fillId="7" borderId="0" xfId="9" applyNumberFormat="1" applyFont="1" applyFill="1"/>
    <xf numFmtId="0" fontId="15" fillId="9" borderId="0" xfId="9" applyFont="1" applyFill="1"/>
    <xf numFmtId="0" fontId="15" fillId="24" borderId="0" xfId="9" applyFont="1" applyFill="1" applyAlignment="1">
      <alignment horizontal="right"/>
    </xf>
    <xf numFmtId="2" fontId="15" fillId="6" borderId="0" xfId="9" applyNumberFormat="1" applyFont="1" applyFill="1"/>
    <xf numFmtId="164" fontId="14" fillId="25" borderId="0" xfId="9" applyNumberFormat="1" applyFill="1"/>
    <xf numFmtId="164" fontId="14" fillId="0" borderId="0" xfId="9" applyNumberFormat="1"/>
    <xf numFmtId="0" fontId="15" fillId="26" borderId="0" xfId="9" applyFont="1" applyFill="1" applyAlignment="1">
      <alignment horizontal="right"/>
    </xf>
    <xf numFmtId="164" fontId="15" fillId="26" borderId="0" xfId="9" applyNumberFormat="1" applyFont="1" applyFill="1"/>
    <xf numFmtId="0" fontId="14" fillId="26" borderId="0" xfId="9" applyFill="1"/>
    <xf numFmtId="10" fontId="15" fillId="27" borderId="0" xfId="9" applyNumberFormat="1" applyFont="1" applyFill="1"/>
    <xf numFmtId="2" fontId="15" fillId="0" borderId="0" xfId="9" applyNumberFormat="1" applyFont="1"/>
    <xf numFmtId="0" fontId="15" fillId="6" borderId="0" xfId="9" applyFont="1" applyFill="1" applyAlignment="1">
      <alignment horizontal="right"/>
    </xf>
    <xf numFmtId="0" fontId="14" fillId="6" borderId="0" xfId="9" applyFill="1"/>
    <xf numFmtId="164" fontId="15" fillId="7" borderId="0" xfId="9" applyNumberFormat="1" applyFont="1" applyFill="1"/>
    <xf numFmtId="0" fontId="15" fillId="6" borderId="0" xfId="9" applyFont="1" applyFill="1" applyAlignment="1">
      <alignment horizontal="center"/>
    </xf>
    <xf numFmtId="0" fontId="15" fillId="25" borderId="0" xfId="9" applyFont="1" applyFill="1" applyAlignment="1">
      <alignment horizontal="center"/>
    </xf>
    <xf numFmtId="164" fontId="14" fillId="9" borderId="0" xfId="9" applyNumberFormat="1" applyFill="1"/>
    <xf numFmtId="164" fontId="15" fillId="28" borderId="0" xfId="9" applyNumberFormat="1" applyFont="1" applyFill="1"/>
    <xf numFmtId="0" fontId="10" fillId="0" borderId="8" xfId="0" applyFont="1" applyBorder="1"/>
    <xf numFmtId="0" fontId="10" fillId="18" borderId="8" xfId="0" applyFont="1" applyFill="1" applyBorder="1" applyAlignment="1">
      <alignment horizontal="right"/>
    </xf>
    <xf numFmtId="0" fontId="9" fillId="0" borderId="8" xfId="0" applyFont="1" applyBorder="1"/>
    <xf numFmtId="171" fontId="9" fillId="18" borderId="8" xfId="0" applyNumberFormat="1" applyFont="1" applyFill="1" applyBorder="1" applyAlignment="1">
      <alignment horizontal="right"/>
    </xf>
    <xf numFmtId="0" fontId="9" fillId="18" borderId="0" xfId="0" applyFont="1" applyFill="1" applyAlignment="1">
      <alignment horizontal="right"/>
    </xf>
    <xf numFmtId="164" fontId="9" fillId="18" borderId="8" xfId="10" applyFont="1" applyFill="1" applyBorder="1" applyAlignment="1">
      <alignment horizontal="right"/>
    </xf>
    <xf numFmtId="172" fontId="9" fillId="18" borderId="8" xfId="10" applyNumberFormat="1" applyFont="1" applyFill="1" applyBorder="1" applyAlignment="1">
      <alignment horizontal="right"/>
    </xf>
    <xf numFmtId="10" fontId="9" fillId="0" borderId="8" xfId="6" applyNumberFormat="1" applyFont="1" applyFill="1" applyBorder="1" applyAlignment="1">
      <alignment horizontal="right"/>
    </xf>
    <xf numFmtId="9" fontId="9" fillId="0" borderId="0" xfId="6" applyFont="1"/>
    <xf numFmtId="9" fontId="9" fillId="0" borderId="0" xfId="6" applyFont="1" applyAlignment="1">
      <alignment horizontal="right"/>
    </xf>
    <xf numFmtId="0" fontId="9" fillId="0" borderId="0" xfId="0" applyFont="1" applyAlignment="1">
      <alignment horizontal="right"/>
    </xf>
    <xf numFmtId="173" fontId="9" fillId="6" borderId="8" xfId="10" applyNumberFormat="1" applyFont="1" applyFill="1" applyBorder="1" applyAlignment="1">
      <alignment horizontal="right"/>
    </xf>
    <xf numFmtId="164" fontId="9" fillId="6" borderId="8" xfId="10" applyFont="1" applyFill="1" applyBorder="1" applyAlignment="1">
      <alignment horizontal="right"/>
    </xf>
    <xf numFmtId="164" fontId="9" fillId="0" borderId="0" xfId="0" applyNumberFormat="1" applyFont="1" applyAlignment="1">
      <alignment horizontal="right"/>
    </xf>
    <xf numFmtId="10" fontId="9" fillId="0" borderId="0" xfId="6" applyNumberFormat="1" applyFont="1"/>
    <xf numFmtId="0" fontId="20" fillId="0" borderId="0" xfId="0" applyFont="1"/>
    <xf numFmtId="0" fontId="12" fillId="0" borderId="0" xfId="0" applyFont="1"/>
    <xf numFmtId="2" fontId="9" fillId="0" borderId="0" xfId="6" applyNumberFormat="1" applyFont="1"/>
    <xf numFmtId="0" fontId="10" fillId="9" borderId="21" xfId="0" applyFont="1" applyFill="1" applyBorder="1"/>
    <xf numFmtId="171" fontId="10" fillId="9" borderId="22" xfId="0" applyNumberFormat="1" applyFont="1" applyFill="1" applyBorder="1" applyAlignment="1">
      <alignment horizontal="right"/>
    </xf>
    <xf numFmtId="0" fontId="10" fillId="9" borderId="22" xfId="0" applyFont="1" applyFill="1" applyBorder="1" applyAlignment="1">
      <alignment horizontal="right"/>
    </xf>
    <xf numFmtId="0" fontId="10" fillId="9" borderId="23" xfId="0" applyFont="1" applyFill="1" applyBorder="1" applyAlignment="1">
      <alignment horizontal="right"/>
    </xf>
    <xf numFmtId="0" fontId="9" fillId="0" borderId="24" xfId="0" applyFont="1" applyBorder="1" applyAlignment="1">
      <alignment wrapText="1"/>
    </xf>
    <xf numFmtId="167" fontId="9" fillId="0" borderId="8" xfId="10" applyNumberFormat="1" applyFont="1" applyBorder="1" applyAlignment="1">
      <alignment horizontal="right" wrapText="1"/>
    </xf>
    <xf numFmtId="10" fontId="9" fillId="0" borderId="25" xfId="6" applyNumberFormat="1" applyFont="1" applyFill="1" applyBorder="1" applyAlignment="1">
      <alignment horizontal="center"/>
    </xf>
    <xf numFmtId="0" fontId="12" fillId="0" borderId="7" xfId="0" applyFont="1" applyBorder="1" applyAlignment="1">
      <alignment wrapText="1"/>
    </xf>
    <xf numFmtId="9" fontId="12" fillId="0" borderId="8" xfId="6" applyFont="1" applyBorder="1" applyAlignment="1">
      <alignment horizontal="right" wrapText="1"/>
    </xf>
    <xf numFmtId="9" fontId="12" fillId="0" borderId="8" xfId="6" applyFont="1" applyFill="1" applyBorder="1" applyAlignment="1">
      <alignment horizontal="center"/>
    </xf>
    <xf numFmtId="9" fontId="12" fillId="0" borderId="25" xfId="6" applyFont="1" applyFill="1" applyBorder="1" applyAlignment="1">
      <alignment horizontal="center"/>
    </xf>
    <xf numFmtId="0" fontId="12" fillId="0" borderId="9" xfId="0" applyFont="1" applyBorder="1" applyAlignment="1">
      <alignment wrapText="1"/>
    </xf>
    <xf numFmtId="9" fontId="12" fillId="0" borderId="10" xfId="6" applyFont="1" applyBorder="1" applyAlignment="1">
      <alignment horizontal="right" wrapText="1"/>
    </xf>
    <xf numFmtId="9" fontId="12" fillId="0" borderId="10" xfId="6" applyFont="1" applyFill="1" applyBorder="1" applyAlignment="1">
      <alignment horizontal="center"/>
    </xf>
    <xf numFmtId="9" fontId="12" fillId="0" borderId="26" xfId="6" applyFont="1" applyFill="1" applyBorder="1" applyAlignment="1">
      <alignment horizontal="center"/>
    </xf>
    <xf numFmtId="0" fontId="10" fillId="0" borderId="0" xfId="0" applyFont="1" applyAlignment="1">
      <alignment horizontal="center" vertical="center"/>
    </xf>
    <xf numFmtId="173" fontId="10" fillId="0" borderId="0" xfId="10" applyNumberFormat="1" applyFont="1" applyAlignment="1">
      <alignment horizontal="center" vertical="center" wrapText="1"/>
    </xf>
    <xf numFmtId="173" fontId="9" fillId="0" borderId="0" xfId="10" applyNumberFormat="1" applyFont="1" applyAlignment="1">
      <alignment wrapText="1"/>
    </xf>
    <xf numFmtId="0" fontId="9" fillId="0" borderId="5" xfId="0" applyFont="1" applyBorder="1"/>
    <xf numFmtId="10" fontId="24" fillId="29" borderId="27" xfId="0" applyNumberFormat="1" applyFont="1" applyFill="1" applyBorder="1"/>
    <xf numFmtId="173" fontId="9" fillId="18" borderId="25" xfId="10" applyNumberFormat="1" applyFont="1" applyFill="1" applyBorder="1"/>
    <xf numFmtId="165" fontId="9" fillId="0" borderId="0" xfId="6" applyNumberFormat="1" applyFont="1"/>
    <xf numFmtId="164" fontId="9" fillId="18" borderId="25" xfId="10" applyFont="1" applyFill="1" applyBorder="1"/>
    <xf numFmtId="172" fontId="24" fillId="29" borderId="25" xfId="10" applyNumberFormat="1" applyFont="1" applyFill="1" applyBorder="1"/>
    <xf numFmtId="10" fontId="9" fillId="18" borderId="25" xfId="6" applyNumberFormat="1" applyFont="1" applyFill="1" applyBorder="1"/>
    <xf numFmtId="173" fontId="9" fillId="30" borderId="25" xfId="10" applyNumberFormat="1" applyFont="1" applyFill="1" applyBorder="1"/>
    <xf numFmtId="164" fontId="9" fillId="30" borderId="25" xfId="10" applyFont="1" applyFill="1" applyBorder="1"/>
    <xf numFmtId="0" fontId="10" fillId="0" borderId="0" xfId="0" applyFont="1" applyAlignment="1">
      <alignment horizontal="center"/>
    </xf>
    <xf numFmtId="174" fontId="24" fillId="29" borderId="27" xfId="0" applyNumberFormat="1" applyFont="1" applyFill="1" applyBorder="1"/>
    <xf numFmtId="172" fontId="9" fillId="18" borderId="25" xfId="10" applyNumberFormat="1" applyFont="1" applyFill="1" applyBorder="1"/>
    <xf numFmtId="164" fontId="22" fillId="0" borderId="0" xfId="0" applyNumberFormat="1" applyFont="1"/>
    <xf numFmtId="0" fontId="0" fillId="7" borderId="8" xfId="0" applyFill="1" applyBorder="1"/>
    <xf numFmtId="43" fontId="0" fillId="0" borderId="0" xfId="0" applyNumberFormat="1"/>
    <xf numFmtId="0" fontId="0" fillId="6" borderId="0" xfId="0" applyFill="1"/>
    <xf numFmtId="0" fontId="0" fillId="0" borderId="0" xfId="6" applyNumberFormat="1" applyFont="1"/>
    <xf numFmtId="0" fontId="0" fillId="0" borderId="28" xfId="0" applyBorder="1"/>
    <xf numFmtId="0" fontId="0" fillId="0" borderId="4" xfId="0" applyBorder="1"/>
    <xf numFmtId="0" fontId="0" fillId="0" borderId="3" xfId="0" applyBorder="1"/>
    <xf numFmtId="0" fontId="0" fillId="0" borderId="29" xfId="0" applyBorder="1"/>
    <xf numFmtId="0" fontId="0" fillId="0" borderId="30" xfId="0" applyBorder="1"/>
    <xf numFmtId="170" fontId="0" fillId="0" borderId="0" xfId="0" applyNumberFormat="1"/>
    <xf numFmtId="2" fontId="1" fillId="0" borderId="0" xfId="0" applyNumberFormat="1" applyFont="1"/>
    <xf numFmtId="9" fontId="1" fillId="0" borderId="0" xfId="0" applyNumberFormat="1" applyFont="1"/>
    <xf numFmtId="0" fontId="1" fillId="0" borderId="30" xfId="0" applyFont="1" applyBorder="1"/>
    <xf numFmtId="2" fontId="1" fillId="0" borderId="0" xfId="6" applyNumberFormat="1" applyFont="1" applyBorder="1"/>
    <xf numFmtId="0" fontId="1" fillId="0" borderId="0" xfId="6" applyNumberFormat="1" applyFont="1" applyBorder="1"/>
    <xf numFmtId="2" fontId="1" fillId="6" borderId="0" xfId="0" applyNumberFormat="1" applyFont="1" applyFill="1"/>
    <xf numFmtId="170" fontId="15" fillId="25" borderId="0" xfId="0" applyNumberFormat="1" applyFont="1" applyFill="1" applyAlignment="1">
      <alignment horizontal="center"/>
    </xf>
    <xf numFmtId="2" fontId="0" fillId="0" borderId="0" xfId="0" applyNumberFormat="1"/>
    <xf numFmtId="174" fontId="1" fillId="0" borderId="0" xfId="6" applyNumberFormat="1" applyFont="1" applyBorder="1"/>
    <xf numFmtId="10" fontId="1" fillId="0" borderId="0" xfId="6" applyNumberFormat="1" applyFont="1" applyBorder="1"/>
    <xf numFmtId="0" fontId="1" fillId="19" borderId="0" xfId="0" applyFont="1" applyFill="1"/>
    <xf numFmtId="170" fontId="1" fillId="7" borderId="29" xfId="0" applyNumberFormat="1" applyFont="1" applyFill="1" applyBorder="1"/>
    <xf numFmtId="170" fontId="1" fillId="7" borderId="8" xfId="0" applyNumberFormat="1" applyFont="1" applyFill="1" applyBorder="1"/>
    <xf numFmtId="170" fontId="0" fillId="0" borderId="8" xfId="0" applyNumberFormat="1" applyBorder="1"/>
    <xf numFmtId="2" fontId="0" fillId="0" borderId="8" xfId="0" applyNumberFormat="1" applyBorder="1"/>
    <xf numFmtId="10" fontId="0" fillId="0" borderId="8" xfId="6" applyNumberFormat="1" applyFont="1" applyBorder="1"/>
    <xf numFmtId="10" fontId="0" fillId="0" borderId="8" xfId="0" applyNumberFormat="1" applyBorder="1"/>
    <xf numFmtId="0" fontId="1" fillId="7" borderId="8" xfId="0" applyFont="1" applyFill="1" applyBorder="1"/>
    <xf numFmtId="175" fontId="0" fillId="0" borderId="0" xfId="0" applyNumberFormat="1"/>
    <xf numFmtId="2" fontId="1" fillId="7" borderId="0" xfId="0" applyNumberFormat="1" applyFont="1" applyFill="1" applyAlignment="1">
      <alignment horizontal="center"/>
    </xf>
    <xf numFmtId="170" fontId="1" fillId="6" borderId="0" xfId="0" applyNumberFormat="1" applyFont="1" applyFill="1" applyAlignment="1">
      <alignment horizontal="center"/>
    </xf>
    <xf numFmtId="2" fontId="1" fillId="19" borderId="0" xfId="0" applyNumberFormat="1" applyFont="1" applyFill="1"/>
    <xf numFmtId="2" fontId="1" fillId="7" borderId="8" xfId="0" applyNumberFormat="1" applyFont="1" applyFill="1" applyBorder="1"/>
    <xf numFmtId="2" fontId="0" fillId="6" borderId="8" xfId="0" applyNumberFormat="1" applyFill="1" applyBorder="1"/>
    <xf numFmtId="0" fontId="26" fillId="0" borderId="0" xfId="0" applyFont="1" applyAlignment="1">
      <alignment horizontal="center"/>
    </xf>
    <xf numFmtId="173" fontId="9" fillId="7" borderId="32" xfId="1" applyNumberFormat="1" applyFont="1" applyFill="1" applyBorder="1" applyAlignment="1">
      <alignment horizontal="center"/>
    </xf>
    <xf numFmtId="1" fontId="9" fillId="0" borderId="0" xfId="0" applyNumberFormat="1" applyFont="1"/>
    <xf numFmtId="173" fontId="10" fillId="0" borderId="0" xfId="1" applyNumberFormat="1" applyFont="1" applyFill="1" applyBorder="1" applyAlignment="1">
      <alignment horizontal="right"/>
    </xf>
    <xf numFmtId="173" fontId="10" fillId="0" borderId="0" xfId="1" applyNumberFormat="1" applyFont="1" applyFill="1" applyBorder="1"/>
    <xf numFmtId="0" fontId="9" fillId="0" borderId="0" xfId="0" applyFont="1" applyAlignment="1">
      <alignment horizontal="left"/>
    </xf>
    <xf numFmtId="49" fontId="27" fillId="6" borderId="33" xfId="0" applyNumberFormat="1" applyFont="1" applyFill="1" applyBorder="1" applyAlignment="1">
      <alignment horizontal="center"/>
    </xf>
    <xf numFmtId="49" fontId="27" fillId="6" borderId="34" xfId="0" applyNumberFormat="1" applyFont="1" applyFill="1" applyBorder="1" applyAlignment="1">
      <alignment horizontal="center"/>
    </xf>
    <xf numFmtId="9" fontId="11" fillId="32" borderId="35" xfId="0" applyNumberFormat="1" applyFont="1" applyFill="1" applyBorder="1" applyAlignment="1">
      <alignment horizontal="center"/>
    </xf>
    <xf numFmtId="9" fontId="11" fillId="32" borderId="36" xfId="0" applyNumberFormat="1" applyFont="1" applyFill="1" applyBorder="1" applyAlignment="1">
      <alignment horizontal="center"/>
    </xf>
    <xf numFmtId="43" fontId="10" fillId="0" borderId="0" xfId="0" applyNumberFormat="1" applyFont="1"/>
    <xf numFmtId="10" fontId="11" fillId="32" borderId="37" xfId="0" applyNumberFormat="1" applyFont="1" applyFill="1" applyBorder="1" applyAlignment="1">
      <alignment horizontal="center"/>
    </xf>
    <xf numFmtId="10" fontId="11" fillId="32" borderId="32" xfId="0" applyNumberFormat="1" applyFont="1" applyFill="1" applyBorder="1" applyAlignment="1">
      <alignment horizontal="center"/>
    </xf>
    <xf numFmtId="9" fontId="11" fillId="32" borderId="32" xfId="0" applyNumberFormat="1" applyFont="1" applyFill="1" applyBorder="1" applyAlignment="1">
      <alignment horizontal="center"/>
    </xf>
    <xf numFmtId="173" fontId="10" fillId="33" borderId="8" xfId="1" applyNumberFormat="1" applyFont="1" applyFill="1" applyBorder="1" applyAlignment="1">
      <alignment horizontal="right"/>
    </xf>
    <xf numFmtId="9" fontId="20" fillId="0" borderId="0" xfId="0" applyNumberFormat="1" applyFont="1" applyAlignment="1">
      <alignment horizontal="center"/>
    </xf>
    <xf numFmtId="173" fontId="10" fillId="33" borderId="8" xfId="1" applyNumberFormat="1" applyFont="1" applyFill="1" applyBorder="1"/>
    <xf numFmtId="0" fontId="28" fillId="0" borderId="0" xfId="0" applyFont="1"/>
    <xf numFmtId="173" fontId="9" fillId="8" borderId="32" xfId="1" applyNumberFormat="1" applyFont="1" applyFill="1" applyBorder="1" applyAlignment="1">
      <alignment horizontal="center" vertical="center"/>
    </xf>
    <xf numFmtId="173" fontId="9" fillId="0" borderId="0" xfId="1" applyNumberFormat="1" applyFont="1"/>
    <xf numFmtId="9" fontId="10" fillId="33" borderId="8" xfId="0" applyNumberFormat="1" applyFont="1" applyFill="1" applyBorder="1"/>
    <xf numFmtId="43" fontId="10" fillId="14" borderId="0" xfId="0" applyNumberFormat="1" applyFont="1" applyFill="1"/>
    <xf numFmtId="0" fontId="27" fillId="34" borderId="5" xfId="0" applyFont="1" applyFill="1" applyBorder="1" applyAlignment="1">
      <alignment horizontal="center"/>
    </xf>
    <xf numFmtId="0" fontId="27" fillId="34" borderId="6" xfId="0" applyFont="1" applyFill="1" applyBorder="1" applyAlignment="1">
      <alignment horizontal="center"/>
    </xf>
    <xf numFmtId="0" fontId="27" fillId="34" borderId="27" xfId="0" applyFont="1" applyFill="1" applyBorder="1" applyAlignment="1">
      <alignment horizontal="center"/>
    </xf>
    <xf numFmtId="0" fontId="28" fillId="0" borderId="7" xfId="0" applyFont="1" applyBorder="1" applyAlignment="1">
      <alignment horizontal="center"/>
    </xf>
    <xf numFmtId="38" fontId="28" fillId="0" borderId="8" xfId="0" applyNumberFormat="1" applyFont="1" applyBorder="1" applyAlignment="1">
      <alignment horizontal="center"/>
    </xf>
    <xf numFmtId="9" fontId="28" fillId="0" borderId="8" xfId="0" applyNumberFormat="1" applyFont="1" applyBorder="1" applyAlignment="1">
      <alignment horizontal="center"/>
    </xf>
    <xf numFmtId="173" fontId="28" fillId="0" borderId="25" xfId="0" applyNumberFormat="1" applyFont="1" applyBorder="1" applyAlignment="1">
      <alignment horizontal="center"/>
    </xf>
    <xf numFmtId="43" fontId="9" fillId="0" borderId="0" xfId="0" applyNumberFormat="1" applyFont="1"/>
    <xf numFmtId="0" fontId="28" fillId="0" borderId="9" xfId="0" applyFont="1" applyBorder="1" applyAlignment="1">
      <alignment horizontal="center"/>
    </xf>
    <xf numFmtId="38" fontId="28" fillId="0" borderId="10" xfId="0" applyNumberFormat="1" applyFont="1" applyBorder="1" applyAlignment="1">
      <alignment horizontal="center"/>
    </xf>
    <xf numFmtId="9" fontId="28" fillId="0" borderId="10" xfId="0" applyNumberFormat="1" applyFont="1" applyBorder="1" applyAlignment="1">
      <alignment horizontal="center"/>
    </xf>
    <xf numFmtId="173" fontId="28" fillId="0" borderId="26" xfId="0" applyNumberFormat="1" applyFont="1" applyBorder="1" applyAlignment="1">
      <alignment horizontal="center"/>
    </xf>
    <xf numFmtId="0" fontId="28" fillId="0" borderId="0" xfId="0" applyFont="1" applyAlignment="1">
      <alignment horizontal="center"/>
    </xf>
    <xf numFmtId="176" fontId="28" fillId="0" borderId="0" xfId="0" applyNumberFormat="1" applyFont="1" applyAlignment="1">
      <alignment horizontal="center"/>
    </xf>
    <xf numFmtId="9" fontId="28" fillId="0" borderId="0" xfId="0" applyNumberFormat="1" applyFont="1" applyAlignment="1">
      <alignment horizontal="center"/>
    </xf>
    <xf numFmtId="6" fontId="28" fillId="0" borderId="0" xfId="0" applyNumberFormat="1" applyFont="1" applyAlignment="1">
      <alignment horizontal="center"/>
    </xf>
    <xf numFmtId="2" fontId="28" fillId="0" borderId="0" xfId="0" applyNumberFormat="1" applyFont="1" applyAlignment="1">
      <alignment horizontal="center"/>
    </xf>
    <xf numFmtId="0" fontId="28" fillId="0" borderId="7" xfId="0" applyFont="1" applyBorder="1" applyAlignment="1">
      <alignment horizontal="left"/>
    </xf>
    <xf numFmtId="2" fontId="28" fillId="0" borderId="0" xfId="6" applyNumberFormat="1" applyFont="1" applyAlignment="1">
      <alignment horizontal="center"/>
    </xf>
    <xf numFmtId="176" fontId="28" fillId="0" borderId="0" xfId="0" applyNumberFormat="1" applyFont="1" applyAlignment="1">
      <alignment horizontal="center" wrapText="1"/>
    </xf>
    <xf numFmtId="0" fontId="28" fillId="0" borderId="7" xfId="0" quotePrefix="1" applyFont="1" applyBorder="1" applyAlignment="1">
      <alignment horizontal="left"/>
    </xf>
    <xf numFmtId="177" fontId="9" fillId="0" borderId="0" xfId="0" applyNumberFormat="1" applyFont="1"/>
    <xf numFmtId="43" fontId="28" fillId="0" borderId="0" xfId="0" applyNumberFormat="1" applyFont="1"/>
    <xf numFmtId="43" fontId="28" fillId="0" borderId="25" xfId="0" applyNumberFormat="1" applyFont="1" applyBorder="1" applyAlignment="1">
      <alignment horizontal="center"/>
    </xf>
    <xf numFmtId="9" fontId="10" fillId="7" borderId="8" xfId="0" applyNumberFormat="1" applyFont="1" applyFill="1" applyBorder="1"/>
    <xf numFmtId="43" fontId="10" fillId="7" borderId="0" xfId="0" applyNumberFormat="1" applyFont="1" applyFill="1"/>
    <xf numFmtId="43" fontId="10" fillId="7" borderId="8" xfId="0" applyNumberFormat="1" applyFont="1" applyFill="1" applyBorder="1"/>
    <xf numFmtId="173" fontId="10" fillId="7" borderId="0" xfId="0" applyNumberFormat="1" applyFont="1" applyFill="1"/>
    <xf numFmtId="0" fontId="10" fillId="7" borderId="0" xfId="0" applyFont="1" applyFill="1"/>
    <xf numFmtId="0" fontId="10" fillId="35" borderId="8" xfId="0" applyFont="1" applyFill="1" applyBorder="1"/>
    <xf numFmtId="0" fontId="10" fillId="25" borderId="8" xfId="2" applyFont="1" applyFill="1" applyBorder="1" applyAlignment="1" applyProtection="1"/>
    <xf numFmtId="173" fontId="24" fillId="36" borderId="19" xfId="1" applyNumberFormat="1" applyFont="1" applyFill="1" applyBorder="1"/>
    <xf numFmtId="0" fontId="24" fillId="36" borderId="8" xfId="2" applyFont="1" applyFill="1" applyBorder="1" applyAlignment="1" applyProtection="1"/>
    <xf numFmtId="0" fontId="11" fillId="26" borderId="8" xfId="2" applyFont="1" applyFill="1" applyBorder="1" applyAlignment="1" applyProtection="1"/>
    <xf numFmtId="167" fontId="11" fillId="37" borderId="19" xfId="1" applyNumberFormat="1" applyFont="1" applyFill="1" applyBorder="1"/>
    <xf numFmtId="0" fontId="11" fillId="37" borderId="8" xfId="2" applyFont="1" applyFill="1" applyBorder="1" applyAlignment="1" applyProtection="1"/>
    <xf numFmtId="167" fontId="9" fillId="0" borderId="39" xfId="1" applyNumberFormat="1" applyFont="1" applyBorder="1"/>
    <xf numFmtId="167" fontId="9" fillId="0" borderId="19" xfId="1" applyNumberFormat="1" applyFont="1" applyBorder="1"/>
    <xf numFmtId="0" fontId="4" fillId="0" borderId="8" xfId="2" applyBorder="1" applyAlignment="1" applyProtection="1"/>
    <xf numFmtId="167" fontId="9" fillId="0" borderId="8" xfId="1" applyNumberFormat="1" applyFont="1" applyBorder="1"/>
    <xf numFmtId="0" fontId="32" fillId="0" borderId="8" xfId="2" applyFont="1" applyBorder="1" applyAlignment="1" applyProtection="1"/>
    <xf numFmtId="0" fontId="4" fillId="0" borderId="0" xfId="2" applyAlignment="1" applyProtection="1"/>
    <xf numFmtId="0" fontId="10" fillId="9" borderId="39" xfId="0" applyFont="1" applyFill="1" applyBorder="1" applyAlignment="1">
      <alignment horizontal="center"/>
    </xf>
    <xf numFmtId="0" fontId="10" fillId="9" borderId="20" xfId="0" applyFont="1" applyFill="1" applyBorder="1" applyAlignment="1">
      <alignment horizontal="center"/>
    </xf>
    <xf numFmtId="0" fontId="10" fillId="9" borderId="19" xfId="0" applyFont="1" applyFill="1" applyBorder="1" applyAlignment="1">
      <alignment horizontal="center"/>
    </xf>
    <xf numFmtId="0" fontId="8" fillId="0" borderId="2" xfId="0" applyFont="1" applyBorder="1"/>
    <xf numFmtId="0" fontId="10" fillId="0" borderId="4" xfId="0" applyFont="1" applyBorder="1"/>
    <xf numFmtId="175" fontId="1" fillId="0" borderId="0" xfId="6" applyNumberFormat="1" applyFont="1" applyBorder="1"/>
    <xf numFmtId="1" fontId="1" fillId="0" borderId="0" xfId="0" applyNumberFormat="1" applyFont="1"/>
    <xf numFmtId="0" fontId="0" fillId="38" borderId="0" xfId="0" applyFill="1"/>
    <xf numFmtId="0" fontId="8" fillId="6" borderId="19" xfId="0" applyFont="1" applyFill="1" applyBorder="1" applyAlignment="1">
      <alignment horizontal="center"/>
    </xf>
    <xf numFmtId="0" fontId="8" fillId="6" borderId="20" xfId="0" applyFont="1" applyFill="1" applyBorder="1" applyAlignment="1">
      <alignment horizontal="center"/>
    </xf>
    <xf numFmtId="0" fontId="10" fillId="7" borderId="19" xfId="0" applyFont="1" applyFill="1" applyBorder="1" applyAlignment="1">
      <alignment horizontal="center"/>
    </xf>
    <xf numFmtId="0" fontId="10" fillId="7" borderId="20" xfId="0" applyFont="1" applyFill="1" applyBorder="1" applyAlignment="1">
      <alignment horizontal="center"/>
    </xf>
    <xf numFmtId="0" fontId="9" fillId="0" borderId="0" xfId="0" applyFont="1" applyAlignment="1">
      <alignment horizontal="center" wrapText="1"/>
    </xf>
    <xf numFmtId="0" fontId="8" fillId="6" borderId="39" xfId="0" applyFont="1" applyFill="1" applyBorder="1" applyAlignment="1">
      <alignment horizontal="center"/>
    </xf>
    <xf numFmtId="0" fontId="10" fillId="6" borderId="1"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10" fillId="6" borderId="31"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6" borderId="0" xfId="0" applyFont="1" applyFill="1" applyAlignment="1">
      <alignment horizontal="center" vertical="center" wrapText="1"/>
    </xf>
    <xf numFmtId="0" fontId="10" fillId="6" borderId="29"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6" borderId="28" xfId="0" applyFont="1" applyFill="1" applyBorder="1" applyAlignment="1">
      <alignment horizontal="center" vertical="center" wrapText="1"/>
    </xf>
    <xf numFmtId="0" fontId="10" fillId="7" borderId="39" xfId="0" applyFont="1" applyFill="1" applyBorder="1" applyAlignment="1">
      <alignment horizontal="center"/>
    </xf>
    <xf numFmtId="167" fontId="11" fillId="26" borderId="19" xfId="1" applyNumberFormat="1" applyFont="1" applyFill="1" applyBorder="1" applyAlignment="1">
      <alignment horizontal="center" vertical="top" wrapText="1"/>
    </xf>
    <xf numFmtId="167" fontId="11" fillId="26" borderId="20" xfId="1" applyNumberFormat="1" applyFont="1" applyFill="1" applyBorder="1" applyAlignment="1">
      <alignment horizontal="center" vertical="top" wrapText="1"/>
    </xf>
    <xf numFmtId="173" fontId="10" fillId="25" borderId="19" xfId="1" applyNumberFormat="1" applyFont="1" applyFill="1" applyBorder="1" applyAlignment="1">
      <alignment horizontal="center" wrapText="1"/>
    </xf>
    <xf numFmtId="173" fontId="10" fillId="25" borderId="20" xfId="1" applyNumberFormat="1" applyFont="1" applyFill="1" applyBorder="1" applyAlignment="1">
      <alignment horizontal="center" wrapText="1"/>
    </xf>
    <xf numFmtId="167" fontId="10" fillId="35" borderId="19" xfId="1" applyNumberFormat="1" applyFont="1" applyFill="1" applyBorder="1" applyAlignment="1">
      <alignment horizontal="right"/>
    </xf>
    <xf numFmtId="167" fontId="10" fillId="35" borderId="39" xfId="1" applyNumberFormat="1" applyFont="1" applyFill="1" applyBorder="1" applyAlignment="1">
      <alignment horizontal="right"/>
    </xf>
    <xf numFmtId="10" fontId="10" fillId="7" borderId="38" xfId="6" applyNumberFormat="1" applyFont="1" applyFill="1" applyBorder="1" applyAlignment="1">
      <alignment horizontal="center" wrapText="1"/>
    </xf>
    <xf numFmtId="0" fontId="9" fillId="6" borderId="1"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6" borderId="31"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9" fillId="6" borderId="0" xfId="0" applyFont="1" applyFill="1" applyAlignment="1">
      <alignment horizontal="center" vertical="center" wrapText="1"/>
    </xf>
    <xf numFmtId="0" fontId="9" fillId="6" borderId="29"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28" xfId="0" applyFont="1" applyFill="1" applyBorder="1" applyAlignment="1">
      <alignment horizontal="center" vertical="center" wrapText="1"/>
    </xf>
    <xf numFmtId="170" fontId="0" fillId="0" borderId="0" xfId="0" applyNumberFormat="1" applyAlignment="1">
      <alignment horizontal="center"/>
    </xf>
    <xf numFmtId="0" fontId="25" fillId="31" borderId="0" xfId="0" applyFont="1" applyFill="1" applyAlignment="1">
      <alignment horizontal="center" vertical="center"/>
    </xf>
    <xf numFmtId="0" fontId="8" fillId="6" borderId="1" xfId="0" applyFont="1" applyFill="1" applyBorder="1" applyAlignment="1">
      <alignment horizontal="center"/>
    </xf>
    <xf numFmtId="0" fontId="8" fillId="6" borderId="2" xfId="0" applyFont="1" applyFill="1" applyBorder="1" applyAlignment="1">
      <alignment horizontal="center"/>
    </xf>
    <xf numFmtId="0" fontId="8" fillId="6" borderId="31" xfId="0" applyFont="1" applyFill="1" applyBorder="1" applyAlignment="1">
      <alignment horizont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10" fillId="6" borderId="28" xfId="0" applyFont="1" applyFill="1" applyBorder="1" applyAlignment="1">
      <alignment horizontal="center" vertical="center"/>
    </xf>
    <xf numFmtId="0" fontId="27" fillId="34" borderId="5" xfId="0" applyFont="1" applyFill="1" applyBorder="1" applyAlignment="1">
      <alignment horizontal="center"/>
    </xf>
    <xf numFmtId="0" fontId="27" fillId="34" borderId="27" xfId="0" applyFont="1" applyFill="1" applyBorder="1" applyAlignment="1">
      <alignment horizontal="center"/>
    </xf>
    <xf numFmtId="0" fontId="8" fillId="6" borderId="17" xfId="0" applyFont="1" applyFill="1" applyBorder="1" applyAlignment="1">
      <alignment horizontal="center"/>
    </xf>
    <xf numFmtId="0" fontId="8" fillId="6" borderId="18" xfId="0" applyFont="1" applyFill="1" applyBorder="1" applyAlignment="1">
      <alignment horizontal="center"/>
    </xf>
    <xf numFmtId="0" fontId="21" fillId="6" borderId="0" xfId="0" applyFont="1" applyFill="1" applyAlignment="1">
      <alignment horizontal="center" vertical="center" wrapText="1"/>
    </xf>
    <xf numFmtId="0" fontId="10" fillId="6" borderId="3" xfId="0" applyFont="1" applyFill="1" applyBorder="1" applyAlignment="1">
      <alignment horizontal="center"/>
    </xf>
    <xf numFmtId="0" fontId="10" fillId="6" borderId="4" xfId="0" applyFont="1" applyFill="1" applyBorder="1" applyAlignment="1">
      <alignment horizontal="center"/>
    </xf>
    <xf numFmtId="0" fontId="0" fillId="7" borderId="11" xfId="0" applyFill="1" applyBorder="1" applyAlignment="1">
      <alignment horizontal="center"/>
    </xf>
    <xf numFmtId="0" fontId="0" fillId="7" borderId="12" xfId="0" applyFill="1" applyBorder="1" applyAlignment="1">
      <alignment horizontal="center"/>
    </xf>
    <xf numFmtId="0" fontId="16" fillId="19" borderId="0" xfId="9" applyFont="1" applyFill="1" applyAlignment="1">
      <alignment horizontal="center"/>
    </xf>
    <xf numFmtId="0" fontId="17" fillId="7" borderId="0" xfId="9" applyFont="1" applyFill="1" applyAlignment="1">
      <alignment horizontal="center" wrapText="1"/>
    </xf>
    <xf numFmtId="0" fontId="18" fillId="20" borderId="0" xfId="9" applyFont="1" applyFill="1" applyAlignment="1">
      <alignment horizontal="center"/>
    </xf>
    <xf numFmtId="164" fontId="4" fillId="0" borderId="0" xfId="2" applyNumberFormat="1" applyBorder="1" applyAlignment="1" applyProtection="1">
      <alignment horizontal="center"/>
    </xf>
    <xf numFmtId="164" fontId="2" fillId="4" borderId="0" xfId="5" applyNumberFormat="1" applyFont="1" applyBorder="1" applyAlignment="1">
      <alignment horizontal="center"/>
    </xf>
  </cellXfs>
  <cellStyles count="11">
    <cellStyle name="60% - Accent1" xfId="3" builtinId="32"/>
    <cellStyle name="60% - Accent3" xfId="4" builtinId="40"/>
    <cellStyle name="Accent6" xfId="5" builtinId="49"/>
    <cellStyle name="Comma" xfId="1" builtinId="3"/>
    <cellStyle name="Comma 2" xfId="7" xr:uid="{72BF61FC-691B-42C4-9EB6-D9408F74D1A2}"/>
    <cellStyle name="Comma 3" xfId="10" xr:uid="{10089958-830E-4A52-BF98-BD14593E3743}"/>
    <cellStyle name="Hyperlink" xfId="2" builtinId="8"/>
    <cellStyle name="Normal" xfId="0" builtinId="0"/>
    <cellStyle name="Normal 2" xfId="9" xr:uid="{3B0B6F88-92D2-4015-8D56-05F7FF420B8D}"/>
    <cellStyle name="Normal 3" xfId="8" xr:uid="{A237FECB-98DC-4A0B-989B-2A0A24A369C3}"/>
    <cellStyle name="Percent" xfId="6" builtinId="5"/>
  </cellStyles>
  <dxfs count="35">
    <dxf>
      <font>
        <b/>
        <i val="0"/>
        <color theme="0"/>
      </font>
      <fill>
        <patternFill>
          <bgColor theme="5"/>
        </patternFill>
      </fill>
    </dxf>
    <dxf>
      <fill>
        <patternFill>
          <bgColor rgb="FFFF0000"/>
        </patternFill>
      </fill>
    </dxf>
    <dxf>
      <fill>
        <patternFill>
          <bgColor rgb="FF92D050"/>
        </patternFill>
      </fill>
    </dxf>
    <dxf>
      <fill>
        <patternFill>
          <bgColor rgb="FFFF0000"/>
        </patternFill>
      </fill>
    </dxf>
    <dxf>
      <fill>
        <patternFill>
          <bgColor rgb="FF92D050"/>
        </patternFill>
      </fill>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6</xdr:col>
      <xdr:colOff>1463843</xdr:colOff>
      <xdr:row>18</xdr:row>
      <xdr:rowOff>26738</xdr:rowOff>
    </xdr:from>
    <xdr:ext cx="6897503" cy="290126"/>
    <xdr:pic>
      <xdr:nvPicPr>
        <xdr:cNvPr id="2" name="Picture 3">
          <a:extLst>
            <a:ext uri="{FF2B5EF4-FFF2-40B4-BE49-F238E27FC236}">
              <a16:creationId xmlns:a16="http://schemas.microsoft.com/office/drawing/2014/main" id="{032CB171-A155-4FE2-B4BA-72043EE6264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548163" y="3318578"/>
          <a:ext cx="6897503" cy="290126"/>
        </a:xfrm>
        <a:prstGeom prst="rect">
          <a:avLst/>
        </a:prstGeom>
        <a:noFill/>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1463843</xdr:colOff>
      <xdr:row>18</xdr:row>
      <xdr:rowOff>26738</xdr:rowOff>
    </xdr:from>
    <xdr:ext cx="6889325" cy="286482"/>
    <xdr:pic>
      <xdr:nvPicPr>
        <xdr:cNvPr id="2" name="Picture 3">
          <a:extLst>
            <a:ext uri="{FF2B5EF4-FFF2-40B4-BE49-F238E27FC236}">
              <a16:creationId xmlns:a16="http://schemas.microsoft.com/office/drawing/2014/main" id="{B1A168C3-235B-4FDF-AF5B-D3C00E01F1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548163" y="3318578"/>
          <a:ext cx="6889325" cy="286482"/>
        </a:xfrm>
        <a:prstGeom prst="rect">
          <a:avLst/>
        </a:prstGeom>
        <a:noFill/>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258793</xdr:colOff>
      <xdr:row>0</xdr:row>
      <xdr:rowOff>86264</xdr:rowOff>
    </xdr:from>
    <xdr:ext cx="4334773" cy="342786"/>
    <xdr:sp macro="" textlink="">
      <xdr:nvSpPr>
        <xdr:cNvPr id="2" name="TextBox 1">
          <a:extLst>
            <a:ext uri="{FF2B5EF4-FFF2-40B4-BE49-F238E27FC236}">
              <a16:creationId xmlns:a16="http://schemas.microsoft.com/office/drawing/2014/main" id="{53CE6361-5FCD-60B5-0F89-906B29DE5A95}"/>
            </a:ext>
          </a:extLst>
        </xdr:cNvPr>
        <xdr:cNvSpPr txBox="1"/>
      </xdr:nvSpPr>
      <xdr:spPr>
        <a:xfrm>
          <a:off x="258793" y="265981"/>
          <a:ext cx="433477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t>Life Insurance Corporation of India (LIC)</a:t>
          </a:r>
        </a:p>
      </xdr:txBody>
    </xdr:sp>
    <xdr:clientData/>
  </xdr:oneCellAnchor>
  <xdr:twoCellAnchor editAs="oneCell">
    <xdr:from>
      <xdr:col>8</xdr:col>
      <xdr:colOff>309814</xdr:colOff>
      <xdr:row>0</xdr:row>
      <xdr:rowOff>0</xdr:rowOff>
    </xdr:from>
    <xdr:to>
      <xdr:col>9</xdr:col>
      <xdr:colOff>496021</xdr:colOff>
      <xdr:row>3</xdr:row>
      <xdr:rowOff>17334</xdr:rowOff>
    </xdr:to>
    <xdr:pic>
      <xdr:nvPicPr>
        <xdr:cNvPr id="4" name="Picture 3">
          <a:extLst>
            <a:ext uri="{FF2B5EF4-FFF2-40B4-BE49-F238E27FC236}">
              <a16:creationId xmlns:a16="http://schemas.microsoft.com/office/drawing/2014/main" id="{C1FFBD99-E1FA-63B0-E846-F05209200A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02474" y="150962"/>
          <a:ext cx="1020094" cy="5564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arun23oct/Desktop/Z%20Analysis%20/Stock-Analysis-Excel.xlsx" TargetMode="External"/><Relationship Id="rId1" Type="http://schemas.openxmlformats.org/officeDocument/2006/relationships/externalLinkPath" Target="/Users/varun23oct/Desktop/Z%20Analysis%20/Stock-Analysis-Exc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arunaggarwal/Desktop/varun%20mac%20data%20/Desktop/Mac%20Desktop/vista%20desktop/IIPM/Portfolio%20Management%20&amp;%20Security%20Analysis/Security%20Analysis%20-%20LICI.xlsx" TargetMode="External"/><Relationship Id="rId1" Type="http://schemas.openxmlformats.org/officeDocument/2006/relationships/externalLinkPath" Target="/Users/varunaggarwal/Desktop/varun%20mac%20data%20/Desktop/Mac%20Desktop/vista%20desktop/IIPM/Portfolio%20Management%20&amp;%20Security%20Analysis/Security%20Analysis%20-%20LIC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
      <sheetName val="Profit &amp; Loss Detailed - BRT"/>
      <sheetName val="Cash Flow"/>
      <sheetName val="Balance Sheet"/>
      <sheetName val="Basic Details"/>
      <sheetName val="DHANDHO IV"/>
      <sheetName val="Ben Graham Formula"/>
      <sheetName val="Expected Returns"/>
      <sheetName val="FBTA - TMV - CMMM"/>
      <sheetName val="Profit &amp; Lo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34">
  <tableColumns count="11">
    <tableColumn id="1" xr3:uid="{00000000-0010-0000-0100-000001000000}" name="Column1" headerRowDxfId="33"/>
    <tableColumn id="2" xr3:uid="{00000000-0010-0000-0100-000002000000}" name="Column2" headerRowDxfId="32"/>
    <tableColumn id="3" xr3:uid="{00000000-0010-0000-0100-000003000000}" name="Column3" headerRowDxfId="31"/>
    <tableColumn id="4" xr3:uid="{00000000-0010-0000-0100-000004000000}" name="Column4" headerRowDxfId="30"/>
    <tableColumn id="5" xr3:uid="{00000000-0010-0000-0100-000005000000}" name="Column5" headerRowDxfId="29"/>
    <tableColumn id="6" xr3:uid="{00000000-0010-0000-0100-000006000000}" name="Column6" headerRowDxfId="28"/>
    <tableColumn id="7" xr3:uid="{00000000-0010-0000-0100-000007000000}" name="Column7" headerRowDxfId="27"/>
    <tableColumn id="8" xr3:uid="{00000000-0010-0000-0100-000008000000}" name="Column8" headerRowDxfId="26"/>
    <tableColumn id="9" xr3:uid="{00000000-0010-0000-0100-000009000000}" name="Column9" headerRowDxfId="25"/>
    <tableColumn id="10" xr3:uid="{00000000-0010-0000-0100-00000A000000}" name="Column10" headerRowDxfId="24"/>
    <tableColumn id="11" xr3:uid="{00000000-0010-0000-0100-00000B000000}" name="Column11" headerRowDxfId="23"/>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22">
  <tableColumns count="14">
    <tableColumn id="1" xr3:uid="{00000000-0010-0000-0000-000001000000}" name="Column1" headerRowDxfId="21" dataDxfId="20"/>
    <tableColumn id="2" xr3:uid="{00000000-0010-0000-0000-000002000000}" name="Column2" headerRowDxfId="19"/>
    <tableColumn id="3" xr3:uid="{00000000-0010-0000-0000-000003000000}" name="Column3" headerRowDxfId="18"/>
    <tableColumn id="4" xr3:uid="{00000000-0010-0000-0000-000004000000}" name="Column4" headerRowDxfId="17"/>
    <tableColumn id="5" xr3:uid="{00000000-0010-0000-0000-000005000000}" name="Column5" headerRowDxfId="16"/>
    <tableColumn id="6" xr3:uid="{00000000-0010-0000-0000-000006000000}" name="Column6" headerRowDxfId="15"/>
    <tableColumn id="7" xr3:uid="{00000000-0010-0000-0000-000007000000}" name="Column7" headerRowDxfId="14"/>
    <tableColumn id="8" xr3:uid="{00000000-0010-0000-0000-000008000000}" name="Column8" headerRowDxfId="13"/>
    <tableColumn id="9" xr3:uid="{00000000-0010-0000-0000-000009000000}" name="Column9" headerRowDxfId="12"/>
    <tableColumn id="10" xr3:uid="{00000000-0010-0000-0000-00000A000000}" name="Column10" headerRowDxfId="11"/>
    <tableColumn id="11" xr3:uid="{00000000-0010-0000-0000-00000B000000}" name="Column11" headerRowDxfId="10"/>
    <tableColumn id="12" xr3:uid="{00000000-0010-0000-0000-00000C000000}" name="Column12" headerRowDxfId="9"/>
    <tableColumn id="13" xr3:uid="{00000000-0010-0000-0000-00000D000000}" name="Column13" headerRowDxfId="8" dataDxfId="7"/>
    <tableColumn id="14" xr3:uid="{00000000-0010-0000-0000-00000E000000}" name="Column14" headerRowDxfId="6" dataDxfId="5"/>
  </tableColumns>
  <tableStyleInfo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hyperlink" Target="http://www.screener.in/"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6.bin"/><Relationship Id="rId1" Type="http://schemas.openxmlformats.org/officeDocument/2006/relationships/hyperlink" Target="http://www.screener.in/"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creener.in/"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creener.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91FB2-06EE-48C8-9B50-8194BDA99314}">
  <sheetPr>
    <tabColor theme="3"/>
  </sheetPr>
  <dimension ref="A1:I28"/>
  <sheetViews>
    <sheetView zoomScale="119" zoomScaleNormal="156" zoomScalePageLayoutView="280" workbookViewId="0">
      <pane xSplit="1" ySplit="2" topLeftCell="B3" activePane="bottomRight" state="frozen"/>
      <selection pane="topRight" activeCell="B1" sqref="B1"/>
      <selection pane="bottomLeft" activeCell="A3" sqref="A3"/>
      <selection pane="bottomRight" activeCell="A3" sqref="A3:XFD3"/>
    </sheetView>
  </sheetViews>
  <sheetFormatPr defaultColWidth="8.77734375" defaultRowHeight="13.2" x14ac:dyDescent="0.25"/>
  <cols>
    <col min="1" max="1" width="22.109375" style="42" bestFit="1" customWidth="1"/>
    <col min="2" max="3" width="11.6640625" style="42" bestFit="1" customWidth="1"/>
    <col min="4" max="5" width="9.109375" style="42" bestFit="1" customWidth="1"/>
    <col min="6" max="8" width="8.77734375" style="42"/>
    <col min="9" max="9" width="36" style="42" customWidth="1"/>
    <col min="10" max="16384" width="8.77734375" style="42"/>
  </cols>
  <sheetData>
    <row r="1" spans="1:9" ht="19.05" customHeight="1" x14ac:dyDescent="0.35">
      <c r="A1" s="276" t="s">
        <v>346</v>
      </c>
      <c r="B1" s="277"/>
      <c r="C1" s="281"/>
      <c r="F1" s="282" t="s">
        <v>345</v>
      </c>
      <c r="G1" s="283"/>
      <c r="H1" s="283"/>
      <c r="I1" s="284"/>
    </row>
    <row r="2" spans="1:9" x14ac:dyDescent="0.25">
      <c r="A2" s="278" t="str">
        <f>'Data Sheet'!B1</f>
        <v>LIFE INSURANCE CORPORATION OF INDIA</v>
      </c>
      <c r="B2" s="279"/>
      <c r="C2" s="291"/>
      <c r="F2" s="285"/>
      <c r="G2" s="286"/>
      <c r="H2" s="286"/>
      <c r="I2" s="287"/>
    </row>
    <row r="3" spans="1:9" x14ac:dyDescent="0.25">
      <c r="A3" s="270"/>
      <c r="B3" s="269" t="s">
        <v>276</v>
      </c>
      <c r="C3" s="268" t="s">
        <v>267</v>
      </c>
      <c r="F3" s="285"/>
      <c r="G3" s="286"/>
      <c r="H3" s="286"/>
      <c r="I3" s="287"/>
    </row>
    <row r="4" spans="1:9" ht="14.4" x14ac:dyDescent="0.3">
      <c r="A4" s="264" t="s">
        <v>344</v>
      </c>
      <c r="B4" s="265">
        <f>IFERROR('Dhandho model'!D17,0)</f>
        <v>1037616.7061425352</v>
      </c>
      <c r="C4" s="265">
        <f>IFERROR('Dhandho model'!M17,0)</f>
        <v>3402802.4133352474</v>
      </c>
      <c r="D4" s="267"/>
      <c r="F4" s="285"/>
      <c r="G4" s="286"/>
      <c r="H4" s="286"/>
      <c r="I4" s="287"/>
    </row>
    <row r="5" spans="1:9" x14ac:dyDescent="0.25">
      <c r="A5" s="266" t="s">
        <v>343</v>
      </c>
      <c r="B5" s="265">
        <f>IFERROR('Ben Graham '!B10,0)</f>
        <v>302374.95654999471</v>
      </c>
      <c r="C5" s="265">
        <f>IFERROR('Ben Graham '!E10,0)</f>
        <v>329865.14059998939</v>
      </c>
      <c r="F5" s="285"/>
      <c r="G5" s="286"/>
      <c r="H5" s="286"/>
      <c r="I5" s="287"/>
    </row>
    <row r="6" spans="1:9" x14ac:dyDescent="0.25">
      <c r="A6" s="266" t="s">
        <v>342</v>
      </c>
      <c r="B6" s="265">
        <f>'DCF '!G29</f>
        <v>1181485.8845755225</v>
      </c>
      <c r="C6" s="265">
        <f>'DCF '!B29</f>
        <v>2323976.834434933</v>
      </c>
      <c r="F6" s="285"/>
      <c r="G6" s="286"/>
      <c r="H6" s="286"/>
      <c r="I6" s="287"/>
    </row>
    <row r="7" spans="1:9" x14ac:dyDescent="0.25">
      <c r="A7" s="266" t="s">
        <v>341</v>
      </c>
      <c r="B7" s="265">
        <f>'Expected Returns Model'!B28</f>
        <v>1207843.3136338654</v>
      </c>
      <c r="C7" s="265">
        <f>'Expected Returns Model'!B18</f>
        <v>7016238.2237230511</v>
      </c>
      <c r="D7" s="67"/>
      <c r="E7" s="67"/>
      <c r="F7" s="285"/>
      <c r="G7" s="286"/>
      <c r="H7" s="286"/>
      <c r="I7" s="287"/>
    </row>
    <row r="8" spans="1:9" ht="14.4" x14ac:dyDescent="0.3">
      <c r="A8" s="264" t="s">
        <v>340</v>
      </c>
      <c r="B8" s="263">
        <f>'FBTA - TMV - CMMM'!E18</f>
        <v>1249670.6643170789</v>
      </c>
      <c r="C8" s="262">
        <f>'FBTA - TMV - CMMM'!P21</f>
        <v>5068662.7526557343</v>
      </c>
      <c r="D8" s="67"/>
      <c r="E8" s="67"/>
      <c r="F8" s="285"/>
      <c r="G8" s="286"/>
      <c r="H8" s="286"/>
      <c r="I8" s="287"/>
    </row>
    <row r="9" spans="1:9" ht="14.4" x14ac:dyDescent="0.3">
      <c r="A9" s="264" t="s">
        <v>302</v>
      </c>
      <c r="B9" s="263">
        <f>'FCFE(L)'!M14</f>
        <v>2760861.1824343111</v>
      </c>
      <c r="C9" s="262">
        <f>'FCFE (H) '!M14</f>
        <v>2944339.5223926986</v>
      </c>
      <c r="D9" s="233"/>
      <c r="F9" s="285"/>
      <c r="G9" s="286"/>
      <c r="H9" s="286"/>
      <c r="I9" s="287"/>
    </row>
    <row r="10" spans="1:9" ht="12.45" customHeight="1" x14ac:dyDescent="0.25">
      <c r="A10" s="261" t="s">
        <v>339</v>
      </c>
      <c r="B10" s="260">
        <f>AVERAGE(B4:B9)</f>
        <v>1289975.4512755515</v>
      </c>
      <c r="C10" s="260">
        <f>AVERAGE(C4:C9)</f>
        <v>3514314.1478569419</v>
      </c>
      <c r="F10" s="285"/>
      <c r="G10" s="286"/>
      <c r="H10" s="286"/>
      <c r="I10" s="287"/>
    </row>
    <row r="11" spans="1:9" ht="12.45" customHeight="1" x14ac:dyDescent="0.25">
      <c r="A11" s="259" t="s">
        <v>338</v>
      </c>
      <c r="B11" s="292">
        <f>AVERAGE(B10:C10)</f>
        <v>2402144.7995662466</v>
      </c>
      <c r="C11" s="293"/>
      <c r="F11" s="285"/>
      <c r="G11" s="286"/>
      <c r="H11" s="286"/>
      <c r="I11" s="287"/>
    </row>
    <row r="12" spans="1:9" x14ac:dyDescent="0.25">
      <c r="A12" s="258" t="s">
        <v>49</v>
      </c>
      <c r="B12" s="257">
        <f>B10/'Data Sheet'!B6</f>
        <v>2039.4876197193439</v>
      </c>
      <c r="C12" s="257">
        <f>C10/'Data Sheet'!B6</f>
        <v>5556.2299183845025</v>
      </c>
      <c r="F12" s="285"/>
      <c r="G12" s="286"/>
      <c r="H12" s="286"/>
      <c r="I12" s="287"/>
    </row>
    <row r="13" spans="1:9" x14ac:dyDescent="0.25">
      <c r="A13" s="256" t="s">
        <v>337</v>
      </c>
      <c r="B13" s="294">
        <f>AVERAGE(B12:C12)</f>
        <v>3797.8587690519234</v>
      </c>
      <c r="C13" s="295"/>
      <c r="F13" s="285"/>
      <c r="G13" s="286"/>
      <c r="H13" s="286"/>
      <c r="I13" s="287"/>
    </row>
    <row r="14" spans="1:9" x14ac:dyDescent="0.25">
      <c r="A14" s="255" t="s">
        <v>336</v>
      </c>
      <c r="B14" s="296">
        <f>'Data Sheet'!B9</f>
        <v>592367.66</v>
      </c>
      <c r="C14" s="297"/>
      <c r="F14" s="285"/>
      <c r="G14" s="286"/>
      <c r="H14" s="286"/>
      <c r="I14" s="287"/>
    </row>
    <row r="15" spans="1:9" x14ac:dyDescent="0.25">
      <c r="A15" s="254" t="s">
        <v>335</v>
      </c>
      <c r="B15" s="298">
        <f>(B14/B11)-1</f>
        <v>-0.7534005193579657</v>
      </c>
      <c r="C15" s="298"/>
      <c r="F15" s="285"/>
      <c r="G15" s="286"/>
      <c r="H15" s="286"/>
      <c r="I15" s="287"/>
    </row>
    <row r="16" spans="1:9" ht="13.8" thickBot="1" x14ac:dyDescent="0.3">
      <c r="F16" s="285"/>
      <c r="G16" s="286"/>
      <c r="H16" s="286"/>
      <c r="I16" s="287"/>
    </row>
    <row r="17" spans="1:9" x14ac:dyDescent="0.25">
      <c r="A17" s="299" t="s">
        <v>334</v>
      </c>
      <c r="B17" s="300"/>
      <c r="C17" s="301"/>
      <c r="F17" s="285"/>
      <c r="G17" s="286"/>
      <c r="H17" s="286"/>
      <c r="I17" s="287"/>
    </row>
    <row r="18" spans="1:9" ht="13.8" thickBot="1" x14ac:dyDescent="0.3">
      <c r="A18" s="302"/>
      <c r="B18" s="303"/>
      <c r="C18" s="304"/>
      <c r="F18" s="288"/>
      <c r="G18" s="289"/>
      <c r="H18" s="289"/>
      <c r="I18" s="290"/>
    </row>
    <row r="19" spans="1:9" x14ac:dyDescent="0.25">
      <c r="A19" s="302"/>
      <c r="B19" s="303"/>
      <c r="C19" s="304"/>
    </row>
    <row r="20" spans="1:9" x14ac:dyDescent="0.25">
      <c r="A20" s="302"/>
      <c r="B20" s="303"/>
      <c r="C20" s="304"/>
    </row>
    <row r="21" spans="1:9" x14ac:dyDescent="0.25">
      <c r="A21" s="302"/>
      <c r="B21" s="303"/>
      <c r="C21" s="304"/>
    </row>
    <row r="22" spans="1:9" x14ac:dyDescent="0.25">
      <c r="A22" s="302"/>
      <c r="B22" s="303"/>
      <c r="C22" s="304"/>
    </row>
    <row r="23" spans="1:9" x14ac:dyDescent="0.25">
      <c r="A23" s="302"/>
      <c r="B23" s="303"/>
      <c r="C23" s="304"/>
    </row>
    <row r="24" spans="1:9" x14ac:dyDescent="0.25">
      <c r="A24" s="302"/>
      <c r="B24" s="303"/>
      <c r="C24" s="304"/>
    </row>
    <row r="25" spans="1:9" x14ac:dyDescent="0.25">
      <c r="A25" s="302"/>
      <c r="B25" s="303"/>
      <c r="C25" s="304"/>
    </row>
    <row r="26" spans="1:9" x14ac:dyDescent="0.25">
      <c r="A26" s="302"/>
      <c r="B26" s="303"/>
      <c r="C26" s="304"/>
    </row>
    <row r="27" spans="1:9" x14ac:dyDescent="0.25">
      <c r="A27" s="302"/>
      <c r="B27" s="303"/>
      <c r="C27" s="304"/>
    </row>
    <row r="28" spans="1:9" ht="13.8" thickBot="1" x14ac:dyDescent="0.3">
      <c r="A28" s="305"/>
      <c r="B28" s="306"/>
      <c r="C28" s="307"/>
    </row>
  </sheetData>
  <mergeCells count="8">
    <mergeCell ref="A1:C1"/>
    <mergeCell ref="F1:I18"/>
    <mergeCell ref="A2:C2"/>
    <mergeCell ref="B11:C11"/>
    <mergeCell ref="B13:C13"/>
    <mergeCell ref="B14:C14"/>
    <mergeCell ref="B15:C15"/>
    <mergeCell ref="A17:C28"/>
  </mergeCells>
  <hyperlinks>
    <hyperlink ref="A4" location="'DHANDHO IV'!A1" display="Dhandho" xr:uid="{137AA820-224B-44EA-8FB4-0D77E06022F7}"/>
    <hyperlink ref="A5" location="'Ben Graham Formula'!A1" display="Ben Graham" xr:uid="{E2C4B241-BAC9-4D5A-8BC6-284CA1ECCBAF}"/>
    <hyperlink ref="A6" location="DCF!A1" display="DCF" xr:uid="{4222754B-6B6C-4620-A677-07840D554EC0}"/>
    <hyperlink ref="A7" location="'Expected Returns'!A1" display="Expected Return" xr:uid="{E1767541-D9F7-4218-86D7-0231DA155D2D}"/>
    <hyperlink ref="A8" location="'FBTA - TMV - CMMM'!A1" display="FBTA - TVM" xr:uid="{3648C127-25D9-4F7A-B2BC-14D9EFAC8836}"/>
    <hyperlink ref="A9" location="'FCFE(L)'!A1" display="FCFE" xr:uid="{67D2D888-819F-47C5-8E62-16459B788049}"/>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9A157-891D-4F8A-BD3B-D24DBFC7D04E}">
  <sheetPr>
    <tabColor theme="6"/>
  </sheetPr>
  <dimension ref="A1:N28"/>
  <sheetViews>
    <sheetView topLeftCell="A2" zoomScale="84" zoomScaleNormal="40" workbookViewId="0">
      <selection activeCell="D33" sqref="D32:D33"/>
    </sheetView>
  </sheetViews>
  <sheetFormatPr defaultColWidth="11.5546875" defaultRowHeight="14.4" x14ac:dyDescent="0.3"/>
  <cols>
    <col min="2" max="2" width="22.44140625" bestFit="1" customWidth="1"/>
    <col min="4" max="4" width="14.21875" customWidth="1"/>
    <col min="5" max="5" width="16.33203125" customWidth="1"/>
    <col min="7" max="7" width="27.109375" customWidth="1"/>
    <col min="8" max="8" width="17.44140625" bestFit="1" customWidth="1"/>
    <col min="9" max="9" width="13.44140625" customWidth="1"/>
    <col min="10" max="10" width="23.77734375" customWidth="1"/>
    <col min="11" max="11" width="20.44140625" customWidth="1"/>
    <col min="12" max="12" width="12.6640625" bestFit="1" customWidth="1"/>
  </cols>
  <sheetData>
    <row r="1" spans="1:14" x14ac:dyDescent="0.3">
      <c r="A1" s="197" t="s">
        <v>312</v>
      </c>
      <c r="B1" s="197" t="s">
        <v>311</v>
      </c>
      <c r="C1" s="197" t="s">
        <v>48</v>
      </c>
      <c r="D1" s="197" t="s">
        <v>310</v>
      </c>
      <c r="E1" s="197" t="s">
        <v>309</v>
      </c>
      <c r="F1" s="197" t="s">
        <v>308</v>
      </c>
      <c r="G1" s="197" t="s">
        <v>307</v>
      </c>
      <c r="H1" s="197" t="s">
        <v>306</v>
      </c>
      <c r="I1" s="197" t="s">
        <v>305</v>
      </c>
      <c r="J1" s="197" t="s">
        <v>304</v>
      </c>
      <c r="K1" s="197" t="s">
        <v>303</v>
      </c>
      <c r="L1" s="197" t="s">
        <v>302</v>
      </c>
      <c r="M1" s="197" t="s">
        <v>301</v>
      </c>
      <c r="N1" s="2"/>
    </row>
    <row r="2" spans="1:14" x14ac:dyDescent="0.3">
      <c r="A2" s="76">
        <v>1</v>
      </c>
      <c r="B2" s="76">
        <v>2025</v>
      </c>
      <c r="C2" s="194">
        <f>'Profit and loss Detailed-BRT '!H26</f>
        <v>76.395778656126481</v>
      </c>
      <c r="D2" s="196">
        <f>'Profit and loss Detailed-BRT '!I26</f>
        <v>0.10311970460378594</v>
      </c>
      <c r="E2" s="76">
        <f t="shared" ref="E2:E12" si="0">$C$18</f>
        <v>1.05</v>
      </c>
      <c r="F2" s="195">
        <f t="shared" ref="F2:F12" si="1">$F$14+E2*($F$15-$F$14)</f>
        <v>0.10266269734072059</v>
      </c>
      <c r="G2" s="193">
        <f>(F17-F18)/C20</f>
        <v>1.1301031769695193</v>
      </c>
      <c r="H2" s="194">
        <f>F19/C20</f>
        <v>-8210.0558968369405</v>
      </c>
      <c r="I2" s="194"/>
      <c r="J2" s="193"/>
      <c r="K2" s="193"/>
      <c r="L2" s="193"/>
      <c r="M2" s="193"/>
    </row>
    <row r="3" spans="1:14" x14ac:dyDescent="0.3">
      <c r="A3" s="76">
        <v>2</v>
      </c>
      <c r="B3" s="76">
        <v>2026</v>
      </c>
      <c r="C3" s="194">
        <f t="shared" ref="C3:C12" si="2">C2*(1+D2)</f>
        <v>84.273688784122456</v>
      </c>
      <c r="D3" s="196">
        <f t="shared" ref="D3:D12" si="3">D2-$C$16</f>
        <v>9.3119704603785949E-2</v>
      </c>
      <c r="E3" s="76">
        <f t="shared" si="0"/>
        <v>1.05</v>
      </c>
      <c r="F3" s="195">
        <f t="shared" si="1"/>
        <v>0.10266269734072059</v>
      </c>
      <c r="G3" s="193">
        <f t="shared" ref="G3:G12" si="4">G2*(1+D3)</f>
        <v>1.235338050980721</v>
      </c>
      <c r="H3" s="194">
        <f t="shared" ref="H3:H12" si="5">H2*(1+D3)</f>
        <v>-8974.5738767309667</v>
      </c>
      <c r="I3" s="194">
        <f t="shared" ref="I3:I12" si="6">(H3-H2)</f>
        <v>-764.51797989402621</v>
      </c>
      <c r="J3" s="194">
        <f t="shared" ref="J3:J12" si="7">I3*(1-$F$21)</f>
        <v>-764.51203087039914</v>
      </c>
      <c r="K3" s="193">
        <f t="shared" ref="K3:K12" si="8">G3*(1-$F$21)</f>
        <v>1.2353284383156877</v>
      </c>
      <c r="L3" s="193">
        <f t="shared" ref="L3:L12" si="9">(C3-K3-J3)</f>
        <v>847.55039121620587</v>
      </c>
      <c r="M3" s="193">
        <f t="shared" ref="M3:M11" si="10">(L3)/(1+F3)^A2</f>
        <v>768.63976015533467</v>
      </c>
    </row>
    <row r="4" spans="1:14" x14ac:dyDescent="0.3">
      <c r="A4" s="76">
        <v>3</v>
      </c>
      <c r="B4" s="76">
        <v>2027</v>
      </c>
      <c r="C4" s="194">
        <f t="shared" si="2"/>
        <v>92.121229789571331</v>
      </c>
      <c r="D4" s="196">
        <f t="shared" si="3"/>
        <v>8.3119704603785954E-2</v>
      </c>
      <c r="E4" s="76">
        <f t="shared" si="0"/>
        <v>1.05</v>
      </c>
      <c r="F4" s="195">
        <f t="shared" si="1"/>
        <v>0.10266269734072059</v>
      </c>
      <c r="G4" s="193">
        <f t="shared" si="4"/>
        <v>1.3380189848640551</v>
      </c>
      <c r="H4" s="194">
        <f t="shared" si="5"/>
        <v>-9720.5378063096978</v>
      </c>
      <c r="I4" s="194">
        <f t="shared" si="6"/>
        <v>-745.96392957873104</v>
      </c>
      <c r="J4" s="194">
        <f t="shared" si="7"/>
        <v>-745.95812493167409</v>
      </c>
      <c r="K4" s="193">
        <f t="shared" si="8"/>
        <v>1.3380085731971438</v>
      </c>
      <c r="L4" s="193">
        <f t="shared" si="9"/>
        <v>836.74134614804825</v>
      </c>
      <c r="M4" s="193">
        <f t="shared" si="10"/>
        <v>688.1860482521862</v>
      </c>
    </row>
    <row r="5" spans="1:14" x14ac:dyDescent="0.3">
      <c r="A5" s="76">
        <v>4</v>
      </c>
      <c r="B5" s="76">
        <v>2028</v>
      </c>
      <c r="C5" s="194">
        <f t="shared" si="2"/>
        <v>99.778319197417986</v>
      </c>
      <c r="D5" s="196">
        <f t="shared" si="3"/>
        <v>7.3119704603785959E-2</v>
      </c>
      <c r="E5" s="76">
        <f t="shared" si="0"/>
        <v>1.05</v>
      </c>
      <c r="F5" s="195">
        <f t="shared" si="1"/>
        <v>0.10266269734072059</v>
      </c>
      <c r="G5" s="193">
        <f t="shared" si="4"/>
        <v>1.4358545377915723</v>
      </c>
      <c r="H5" s="194">
        <f t="shared" si="5"/>
        <v>-10431.300659296996</v>
      </c>
      <c r="I5" s="194">
        <f t="shared" si="6"/>
        <v>-710.76285298729817</v>
      </c>
      <c r="J5" s="194">
        <f t="shared" si="7"/>
        <v>-710.75732225405591</v>
      </c>
      <c r="K5" s="193">
        <f t="shared" si="8"/>
        <v>1.435843364826652</v>
      </c>
      <c r="L5" s="193">
        <f t="shared" si="9"/>
        <v>809.0997980866473</v>
      </c>
      <c r="M5" s="193">
        <f t="shared" si="10"/>
        <v>603.49551149568367</v>
      </c>
    </row>
    <row r="6" spans="1:14" x14ac:dyDescent="0.3">
      <c r="A6" s="76">
        <v>5</v>
      </c>
      <c r="B6" s="76">
        <v>2029</v>
      </c>
      <c r="C6" s="194">
        <f t="shared" si="2"/>
        <v>107.07408042299545</v>
      </c>
      <c r="D6" s="196">
        <f t="shared" si="3"/>
        <v>6.3119704603785964E-2</v>
      </c>
      <c r="E6" s="76">
        <f t="shared" si="0"/>
        <v>1.05</v>
      </c>
      <c r="F6" s="195">
        <f t="shared" si="1"/>
        <v>0.10266269734072059</v>
      </c>
      <c r="G6" s="193">
        <f t="shared" si="4"/>
        <v>1.526485252070982</v>
      </c>
      <c r="H6" s="194">
        <f t="shared" si="5"/>
        <v>-11089.7212755451</v>
      </c>
      <c r="I6" s="194">
        <f t="shared" si="6"/>
        <v>-658.42061624810412</v>
      </c>
      <c r="J6" s="194">
        <f t="shared" si="7"/>
        <v>-658.41549281097696</v>
      </c>
      <c r="K6" s="193">
        <f t="shared" si="8"/>
        <v>1.5264733738718161</v>
      </c>
      <c r="L6" s="193">
        <f t="shared" si="9"/>
        <v>763.96309986010056</v>
      </c>
      <c r="M6" s="193">
        <f t="shared" si="10"/>
        <v>516.77518488186934</v>
      </c>
    </row>
    <row r="7" spans="1:14" x14ac:dyDescent="0.3">
      <c r="A7" s="76">
        <v>6</v>
      </c>
      <c r="B7" s="76">
        <v>2030</v>
      </c>
      <c r="C7" s="194">
        <f t="shared" si="2"/>
        <v>113.83256475001694</v>
      </c>
      <c r="D7" s="196">
        <f t="shared" si="3"/>
        <v>5.3119704603785962E-2</v>
      </c>
      <c r="E7" s="76">
        <f t="shared" si="0"/>
        <v>1.05</v>
      </c>
      <c r="F7" s="195">
        <f t="shared" si="1"/>
        <v>0.10266269734072059</v>
      </c>
      <c r="G7" s="193">
        <f t="shared" si="4"/>
        <v>1.6075716977430281</v>
      </c>
      <c r="H7" s="194">
        <f t="shared" si="5"/>
        <v>-11678.803993840376</v>
      </c>
      <c r="I7" s="194">
        <f t="shared" si="6"/>
        <v>-589.08271829527621</v>
      </c>
      <c r="J7" s="194">
        <f t="shared" si="7"/>
        <v>-589.07813440437815</v>
      </c>
      <c r="K7" s="193">
        <f t="shared" si="8"/>
        <v>1.6075591885774314</v>
      </c>
      <c r="L7" s="193">
        <f t="shared" si="9"/>
        <v>701.30313996581765</v>
      </c>
      <c r="M7" s="193">
        <f t="shared" si="10"/>
        <v>430.22175678484223</v>
      </c>
    </row>
    <row r="8" spans="1:14" x14ac:dyDescent="0.3">
      <c r="A8" s="76">
        <v>7</v>
      </c>
      <c r="B8" s="76">
        <v>2031</v>
      </c>
      <c r="C8" s="194">
        <f t="shared" si="2"/>
        <v>119.87931696382917</v>
      </c>
      <c r="D8" s="196">
        <f t="shared" si="3"/>
        <v>4.311970460378596E-2</v>
      </c>
      <c r="E8" s="76">
        <f t="shared" si="0"/>
        <v>1.05</v>
      </c>
      <c r="F8" s="195">
        <f t="shared" si="1"/>
        <v>0.10266269734072059</v>
      </c>
      <c r="G8" s="193">
        <f t="shared" si="4"/>
        <v>1.6768897144791139</v>
      </c>
      <c r="H8" s="194">
        <f t="shared" si="5"/>
        <v>-12182.390572180288</v>
      </c>
      <c r="I8" s="194">
        <f t="shared" si="6"/>
        <v>-503.58657833991128</v>
      </c>
      <c r="J8" s="194">
        <f t="shared" si="7"/>
        <v>-503.58265972905895</v>
      </c>
      <c r="K8" s="193">
        <f t="shared" si="8"/>
        <v>1.676876665921992</v>
      </c>
      <c r="L8" s="193">
        <f t="shared" si="9"/>
        <v>621.78510002696612</v>
      </c>
      <c r="M8" s="193">
        <f t="shared" si="10"/>
        <v>345.92680356222348</v>
      </c>
    </row>
    <row r="9" spans="1:14" x14ac:dyDescent="0.3">
      <c r="A9" s="76">
        <v>8</v>
      </c>
      <c r="B9" s="76">
        <v>2032</v>
      </c>
      <c r="C9" s="194">
        <f t="shared" si="2"/>
        <v>125.0484776994131</v>
      </c>
      <c r="D9" s="196">
        <f t="shared" si="3"/>
        <v>3.3119704603785959E-2</v>
      </c>
      <c r="E9" s="76">
        <f t="shared" si="0"/>
        <v>1.05</v>
      </c>
      <c r="F9" s="195">
        <f t="shared" si="1"/>
        <v>0.10266269734072059</v>
      </c>
      <c r="G9" s="193">
        <f t="shared" si="4"/>
        <v>1.732427806475789</v>
      </c>
      <c r="H9" s="194">
        <f t="shared" si="5"/>
        <v>-12585.867749298845</v>
      </c>
      <c r="I9" s="194">
        <f t="shared" si="6"/>
        <v>-403.47717711855694</v>
      </c>
      <c r="J9" s="194">
        <f t="shared" si="7"/>
        <v>-403.47403749944687</v>
      </c>
      <c r="K9" s="193">
        <f t="shared" si="8"/>
        <v>1.7324143257543096</v>
      </c>
      <c r="L9" s="193">
        <f t="shared" si="9"/>
        <v>526.79010087310564</v>
      </c>
      <c r="M9" s="193">
        <f t="shared" si="10"/>
        <v>265.79011540403985</v>
      </c>
    </row>
    <row r="10" spans="1:14" x14ac:dyDescent="0.3">
      <c r="A10" s="76">
        <v>9</v>
      </c>
      <c r="B10" s="76">
        <v>2033</v>
      </c>
      <c r="C10" s="194">
        <f t="shared" si="2"/>
        <v>129.19004634197077</v>
      </c>
      <c r="D10" s="196">
        <f t="shared" si="3"/>
        <v>2.3119704603785957E-2</v>
      </c>
      <c r="E10" s="76">
        <f t="shared" si="0"/>
        <v>1.05</v>
      </c>
      <c r="F10" s="195">
        <f t="shared" si="1"/>
        <v>0.10266269734072059</v>
      </c>
      <c r="G10" s="193">
        <f t="shared" si="4"/>
        <v>1.7724810256088939</v>
      </c>
      <c r="H10" s="194">
        <f t="shared" si="5"/>
        <v>-12876.849293844949</v>
      </c>
      <c r="I10" s="194">
        <f t="shared" si="6"/>
        <v>-290.98154454610449</v>
      </c>
      <c r="J10" s="194">
        <f t="shared" si="7"/>
        <v>-290.97928030101269</v>
      </c>
      <c r="K10" s="193">
        <f t="shared" si="8"/>
        <v>1.7724672332171161</v>
      </c>
      <c r="L10" s="193">
        <f t="shared" si="9"/>
        <v>418.39685940976636</v>
      </c>
      <c r="M10" s="193">
        <f t="shared" si="10"/>
        <v>191.44628949091287</v>
      </c>
    </row>
    <row r="11" spans="1:14" x14ac:dyDescent="0.3">
      <c r="A11" s="76">
        <v>10</v>
      </c>
      <c r="B11" s="76">
        <v>2034</v>
      </c>
      <c r="C11" s="194">
        <f t="shared" si="2"/>
        <v>132.17688205114655</v>
      </c>
      <c r="D11" s="196">
        <f t="shared" si="3"/>
        <v>1.3119704603785956E-2</v>
      </c>
      <c r="E11" s="76">
        <f t="shared" si="0"/>
        <v>1.05</v>
      </c>
      <c r="F11" s="195">
        <f t="shared" si="1"/>
        <v>0.10266269734072059</v>
      </c>
      <c r="G11" s="193">
        <f t="shared" si="4"/>
        <v>1.7957354530806979</v>
      </c>
      <c r="H11" s="194">
        <f t="shared" si="5"/>
        <v>-13045.789752807663</v>
      </c>
      <c r="I11" s="194">
        <f t="shared" si="6"/>
        <v>-168.94045896271382</v>
      </c>
      <c r="J11" s="194">
        <f t="shared" si="7"/>
        <v>-168.93914436867107</v>
      </c>
      <c r="K11" s="193">
        <f t="shared" si="8"/>
        <v>1.7957214797368142</v>
      </c>
      <c r="L11" s="193">
        <f t="shared" si="9"/>
        <v>299.3203049400808</v>
      </c>
      <c r="M11" s="193">
        <f t="shared" si="10"/>
        <v>124.20870497008342</v>
      </c>
    </row>
    <row r="12" spans="1:14" x14ac:dyDescent="0.3">
      <c r="A12" s="76">
        <v>11</v>
      </c>
      <c r="B12" s="76">
        <v>2035</v>
      </c>
      <c r="C12" s="194">
        <f t="shared" si="2"/>
        <v>133.91100369910703</v>
      </c>
      <c r="D12" s="196">
        <f t="shared" si="3"/>
        <v>3.1197046037859562E-3</v>
      </c>
      <c r="E12" s="76">
        <f t="shared" si="0"/>
        <v>1.05</v>
      </c>
      <c r="F12" s="195">
        <f t="shared" si="1"/>
        <v>0.10266269734072059</v>
      </c>
      <c r="G12" s="193">
        <f t="shared" si="4"/>
        <v>1.8013376172408553</v>
      </c>
      <c r="H12" s="194">
        <f t="shared" si="5"/>
        <v>-13086.488763159519</v>
      </c>
      <c r="I12" s="194">
        <f t="shared" si="6"/>
        <v>-40.699010351856487</v>
      </c>
      <c r="J12" s="194">
        <f t="shared" si="7"/>
        <v>-40.698693656395363</v>
      </c>
      <c r="K12" s="193">
        <f t="shared" si="8"/>
        <v>1.8013236003042663</v>
      </c>
      <c r="L12" s="193">
        <f t="shared" si="9"/>
        <v>172.80837375519812</v>
      </c>
      <c r="M12" s="77">
        <f>F23</f>
        <v>720.39376340837725</v>
      </c>
    </row>
    <row r="13" spans="1:14" x14ac:dyDescent="0.3">
      <c r="A13" s="76"/>
      <c r="B13" s="76"/>
      <c r="C13" s="76"/>
      <c r="D13" s="76"/>
      <c r="E13" s="76"/>
      <c r="F13" s="76"/>
      <c r="G13" s="76"/>
      <c r="H13" s="76"/>
      <c r="I13" s="76"/>
      <c r="J13" s="76"/>
      <c r="K13" s="193"/>
      <c r="L13" s="192">
        <f>SUM(L3:L11)</f>
        <v>5824.9501405267383</v>
      </c>
      <c r="M13" s="192">
        <f>SUM(M3:M12)</f>
        <v>4655.0839384055535</v>
      </c>
      <c r="N13" s="191"/>
    </row>
    <row r="14" spans="1:14" x14ac:dyDescent="0.3">
      <c r="B14" s="182" t="s">
        <v>300</v>
      </c>
      <c r="C14" s="189">
        <f>'Profit and loss Detailed-BRT '!I26</f>
        <v>0.10311970460378594</v>
      </c>
      <c r="D14" s="2"/>
      <c r="E14" s="2" t="s">
        <v>299</v>
      </c>
      <c r="F14" s="189">
        <v>5.5E-2</v>
      </c>
      <c r="K14" s="179"/>
      <c r="L14" s="190" t="s">
        <v>298</v>
      </c>
      <c r="M14" s="190">
        <f>M13*C20</f>
        <v>2944339.5223926986</v>
      </c>
      <c r="N14" s="177"/>
    </row>
    <row r="15" spans="1:14" x14ac:dyDescent="0.3">
      <c r="B15" s="182"/>
      <c r="C15" s="10"/>
      <c r="D15" s="2"/>
      <c r="E15" s="2" t="s">
        <v>297</v>
      </c>
      <c r="F15" s="25">
        <f>(25149/8780)^(1/11)-1</f>
        <v>0.10039304508640057</v>
      </c>
      <c r="K15" s="179"/>
      <c r="L15" s="187"/>
      <c r="M15" s="179"/>
      <c r="N15" s="177"/>
    </row>
    <row r="16" spans="1:14" x14ac:dyDescent="0.3">
      <c r="B16" s="182" t="s">
        <v>296</v>
      </c>
      <c r="C16" s="188">
        <v>0.01</v>
      </c>
      <c r="D16" s="2"/>
      <c r="E16" s="2"/>
      <c r="F16" s="26" t="s">
        <v>295</v>
      </c>
      <c r="G16" s="25"/>
      <c r="K16" s="179"/>
      <c r="L16" s="187"/>
      <c r="M16" s="179"/>
      <c r="N16" s="177"/>
    </row>
    <row r="17" spans="2:14" ht="15.6" x14ac:dyDescent="0.3">
      <c r="B17" s="182"/>
      <c r="C17" s="2"/>
      <c r="D17" s="2"/>
      <c r="E17" s="2" t="s">
        <v>294</v>
      </c>
      <c r="F17" s="180">
        <f>'Cash Flow'!K12</f>
        <v>714.79000000000008</v>
      </c>
      <c r="K17" s="186" t="s">
        <v>293</v>
      </c>
      <c r="L17" s="185">
        <f>F22+L13</f>
        <v>7560.9676039747601</v>
      </c>
      <c r="N17" s="177"/>
    </row>
    <row r="18" spans="2:14" x14ac:dyDescent="0.3">
      <c r="B18" s="182" t="s">
        <v>292</v>
      </c>
      <c r="C18" s="2">
        <v>1.05</v>
      </c>
      <c r="D18" s="2"/>
      <c r="E18" s="2" t="s">
        <v>291</v>
      </c>
      <c r="F18" s="2">
        <f>'Profit and loss Detailed-BRT '!H16</f>
        <v>0</v>
      </c>
      <c r="K18" s="179"/>
      <c r="N18" s="177"/>
    </row>
    <row r="19" spans="2:14" x14ac:dyDescent="0.3">
      <c r="B19" s="182"/>
      <c r="C19" s="183"/>
      <c r="D19" s="2"/>
      <c r="E19" s="2" t="s">
        <v>30</v>
      </c>
      <c r="F19" s="2">
        <f>'Balance Sheet'!K16</f>
        <v>-5192858.47</v>
      </c>
      <c r="K19" s="179"/>
      <c r="N19" s="177"/>
    </row>
    <row r="20" spans="2:14" x14ac:dyDescent="0.3">
      <c r="B20" s="182" t="s">
        <v>290</v>
      </c>
      <c r="C20" s="273">
        <f>'Basic Sheet'!D5</f>
        <v>632.49977043403987</v>
      </c>
      <c r="D20" s="2"/>
      <c r="E20" s="2"/>
      <c r="F20" s="2"/>
      <c r="K20" s="179"/>
      <c r="N20" s="177"/>
    </row>
    <row r="21" spans="2:14" x14ac:dyDescent="0.3">
      <c r="B21" s="182"/>
      <c r="C21" s="2"/>
      <c r="D21" s="2"/>
      <c r="E21" s="2" t="s">
        <v>289</v>
      </c>
      <c r="F21" s="183">
        <f>'Balance Sheet'!K25</f>
        <v>7.7814044711950085E-6</v>
      </c>
      <c r="K21" s="308"/>
      <c r="L21" s="308"/>
      <c r="N21" s="177"/>
    </row>
    <row r="22" spans="2:14" x14ac:dyDescent="0.3">
      <c r="B22" s="182" t="s">
        <v>288</v>
      </c>
      <c r="C22" s="181">
        <v>0.05</v>
      </c>
      <c r="D22" s="2"/>
      <c r="E22" s="2" t="s">
        <v>287</v>
      </c>
      <c r="F22" s="274">
        <f>L12/(F12-D12)</f>
        <v>1736.0174634480218</v>
      </c>
      <c r="G22" t="s">
        <v>286</v>
      </c>
      <c r="K22" s="308"/>
      <c r="L22" s="308"/>
      <c r="N22" s="177"/>
    </row>
    <row r="23" spans="2:14" x14ac:dyDescent="0.3">
      <c r="B23" s="178"/>
      <c r="E23" s="2" t="s">
        <v>285</v>
      </c>
      <c r="F23" s="22">
        <f>(F22)/((1+F10)*(1+F9)*(1+F8)*(1+F7)*(1+F6)^5)</f>
        <v>720.39376340837725</v>
      </c>
      <c r="H23" s="2" t="s">
        <v>284</v>
      </c>
      <c r="K23" s="179"/>
      <c r="N23" s="177"/>
    </row>
    <row r="24" spans="2:14" ht="28.95" customHeight="1" x14ac:dyDescent="0.3">
      <c r="B24" s="178"/>
      <c r="F24">
        <f>F22/(1+F12)^9</f>
        <v>720.39376340837725</v>
      </c>
      <c r="H24" s="309" t="s">
        <v>283</v>
      </c>
      <c r="I24" s="309"/>
      <c r="J24" s="309"/>
      <c r="K24" s="309"/>
      <c r="N24" s="177"/>
    </row>
    <row r="25" spans="2:14" ht="15" thickBot="1" x14ac:dyDescent="0.35">
      <c r="B25" s="176" t="s">
        <v>282</v>
      </c>
      <c r="C25" s="175">
        <f>'Data Sheet'!B8</f>
        <v>936.55</v>
      </c>
      <c r="D25" s="175"/>
      <c r="E25" s="175"/>
      <c r="F25" s="175"/>
      <c r="G25" s="175"/>
      <c r="H25" s="175"/>
      <c r="I25" s="175"/>
      <c r="J25" s="175"/>
      <c r="K25" s="175"/>
      <c r="L25" s="175"/>
      <c r="M25" s="175"/>
      <c r="N25" s="174"/>
    </row>
    <row r="28" spans="2:14" x14ac:dyDescent="0.3">
      <c r="H28" t="s">
        <v>347</v>
      </c>
    </row>
  </sheetData>
  <mergeCells count="2">
    <mergeCell ref="K21:L22"/>
    <mergeCell ref="H24:K24"/>
  </mergeCells>
  <conditionalFormatting sqref="K21:L22">
    <cfRule type="expression" dxfId="4" priority="1">
      <formula>$K$21="UNDER VALUED"</formula>
    </cfRule>
    <cfRule type="expression" dxfId="3" priority="2">
      <formula>$K$21="OVER VALUED"</formula>
    </cfRule>
  </conditionalFormatting>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8AC74-E674-4008-BE97-CCEE4EBA5CBF}">
  <sheetPr>
    <tabColor theme="5"/>
  </sheetPr>
  <dimension ref="A1:N25"/>
  <sheetViews>
    <sheetView zoomScale="76" zoomScaleNormal="130" workbookViewId="0">
      <selection activeCell="L17" sqref="L17"/>
    </sheetView>
  </sheetViews>
  <sheetFormatPr defaultColWidth="11.5546875" defaultRowHeight="14.4" x14ac:dyDescent="0.3"/>
  <cols>
    <col min="2" max="2" width="22.44140625" bestFit="1" customWidth="1"/>
    <col min="5" max="5" width="16.33203125" customWidth="1"/>
    <col min="7" max="7" width="27.109375" customWidth="1"/>
    <col min="8" max="8" width="13.109375" customWidth="1"/>
    <col min="9" max="9" width="13.44140625" customWidth="1"/>
    <col min="10" max="10" width="23.44140625" customWidth="1"/>
    <col min="11" max="11" width="20.44140625" customWidth="1"/>
    <col min="12" max="12" width="12.6640625" bestFit="1" customWidth="1"/>
  </cols>
  <sheetData>
    <row r="1" spans="1:14" x14ac:dyDescent="0.3">
      <c r="A1" s="197" t="s">
        <v>312</v>
      </c>
      <c r="B1" s="197" t="s">
        <v>311</v>
      </c>
      <c r="C1" s="197" t="s">
        <v>48</v>
      </c>
      <c r="D1" s="197" t="s">
        <v>310</v>
      </c>
      <c r="E1" s="197" t="s">
        <v>309</v>
      </c>
      <c r="F1" s="197" t="s">
        <v>308</v>
      </c>
      <c r="G1" s="197" t="s">
        <v>307</v>
      </c>
      <c r="H1" s="197" t="s">
        <v>315</v>
      </c>
      <c r="I1" s="197" t="s">
        <v>305</v>
      </c>
      <c r="J1" s="197" t="s">
        <v>304</v>
      </c>
      <c r="K1" s="197" t="s">
        <v>303</v>
      </c>
      <c r="L1" s="197" t="s">
        <v>302</v>
      </c>
      <c r="M1" s="197" t="s">
        <v>301</v>
      </c>
      <c r="N1" s="2"/>
    </row>
    <row r="2" spans="1:14" x14ac:dyDescent="0.3">
      <c r="A2" s="76">
        <v>1</v>
      </c>
      <c r="B2" s="76">
        <v>2025</v>
      </c>
      <c r="C2" s="194">
        <f>'FCFE (H) '!C2</f>
        <v>76.395778656126481</v>
      </c>
      <c r="D2" s="196">
        <f>C14</f>
        <v>0.10311970460378594</v>
      </c>
      <c r="E2" s="76">
        <f t="shared" ref="E2:E12" si="0">$C$18</f>
        <v>1.05</v>
      </c>
      <c r="F2" s="195">
        <f t="shared" ref="F2:F12" si="1">$F$14+E2*($F$15-$F$14)</f>
        <v>0.10266269734072059</v>
      </c>
      <c r="G2" s="193">
        <f>(F17-F18)/C20</f>
        <v>1.1301031769695193</v>
      </c>
      <c r="H2" s="194">
        <f>F19/C20</f>
        <v>-8210.0558968369405</v>
      </c>
      <c r="I2" s="194"/>
      <c r="J2" s="193"/>
      <c r="K2" s="193"/>
      <c r="L2" s="193"/>
      <c r="M2" s="193"/>
    </row>
    <row r="3" spans="1:14" x14ac:dyDescent="0.3">
      <c r="A3" s="76">
        <v>2</v>
      </c>
      <c r="B3" s="76">
        <v>2026</v>
      </c>
      <c r="C3" s="194">
        <f t="shared" ref="C3:C12" si="2">C2*(1+D2)</f>
        <v>84.273688784122456</v>
      </c>
      <c r="D3" s="196">
        <f t="shared" ref="D3:D12" si="3">D2-$C$16</f>
        <v>9.2807734143407344E-2</v>
      </c>
      <c r="E3" s="76">
        <f t="shared" si="0"/>
        <v>1.05</v>
      </c>
      <c r="F3" s="195">
        <f t="shared" si="1"/>
        <v>0.10266269734072059</v>
      </c>
      <c r="G3" s="193">
        <f t="shared" ref="G3:G12" si="4">G2*(1+D3)</f>
        <v>1.2349854921723264</v>
      </c>
      <c r="H3" s="194">
        <f t="shared" ref="H3:H12" si="5">H2*(1+D3)</f>
        <v>-8972.0125818130964</v>
      </c>
      <c r="I3" s="194">
        <f t="shared" ref="I3:I12" si="6">(H3-H2)</f>
        <v>-761.95668497615588</v>
      </c>
      <c r="J3" s="193">
        <f t="shared" ref="J3:J12" si="7">I3*(1-$F$21)</f>
        <v>-761.95075588300051</v>
      </c>
      <c r="K3" s="193">
        <f t="shared" ref="K3:K12" si="8">G3*(1-$F$21)</f>
        <v>1.2349758822506958</v>
      </c>
      <c r="L3" s="194">
        <f t="shared" ref="L3:L12" si="9">(C3-K3-J3)</f>
        <v>844.98946878487232</v>
      </c>
      <c r="M3" s="194">
        <f t="shared" ref="M3:M11" si="10">(L3)/(1+F3)^A2</f>
        <v>766.31727075081449</v>
      </c>
    </row>
    <row r="4" spans="1:14" x14ac:dyDescent="0.3">
      <c r="A4" s="76">
        <v>3</v>
      </c>
      <c r="B4" s="76">
        <v>2027</v>
      </c>
      <c r="C4" s="194">
        <f t="shared" si="2"/>
        <v>92.094938888083533</v>
      </c>
      <c r="D4" s="196">
        <f t="shared" si="3"/>
        <v>8.2495763683028744E-2</v>
      </c>
      <c r="E4" s="76">
        <f t="shared" si="0"/>
        <v>1.05</v>
      </c>
      <c r="F4" s="195">
        <f t="shared" si="1"/>
        <v>0.10266269734072059</v>
      </c>
      <c r="G4" s="193">
        <f t="shared" si="4"/>
        <v>1.3368665634865438</v>
      </c>
      <c r="H4" s="194">
        <f t="shared" si="5"/>
        <v>-9712.165611523511</v>
      </c>
      <c r="I4" s="194">
        <f t="shared" si="6"/>
        <v>-740.15302971041456</v>
      </c>
      <c r="J4" s="193">
        <f t="shared" si="7"/>
        <v>-740.14727028031973</v>
      </c>
      <c r="K4" s="193">
        <f t="shared" si="8"/>
        <v>1.3368561607870892</v>
      </c>
      <c r="L4" s="194">
        <f t="shared" si="9"/>
        <v>830.90535300761621</v>
      </c>
      <c r="M4" s="194">
        <f t="shared" si="10"/>
        <v>683.38617900294969</v>
      </c>
    </row>
    <row r="5" spans="1:14" x14ac:dyDescent="0.3">
      <c r="A5" s="76">
        <v>4</v>
      </c>
      <c r="B5" s="76">
        <v>2028</v>
      </c>
      <c r="C5" s="194">
        <f t="shared" si="2"/>
        <v>99.692381202997851</v>
      </c>
      <c r="D5" s="196">
        <f t="shared" si="3"/>
        <v>7.2183793222650144E-2</v>
      </c>
      <c r="E5" s="76">
        <f t="shared" si="0"/>
        <v>1.05</v>
      </c>
      <c r="F5" s="195">
        <f t="shared" si="1"/>
        <v>0.10266269734072059</v>
      </c>
      <c r="G5" s="193">
        <f t="shared" si="4"/>
        <v>1.4333666630715314</v>
      </c>
      <c r="H5" s="194">
        <f t="shared" si="5"/>
        <v>-10413.226565769857</v>
      </c>
      <c r="I5" s="194">
        <f t="shared" si="6"/>
        <v>-701.06095424634623</v>
      </c>
      <c r="J5" s="193">
        <f t="shared" si="7"/>
        <v>-701.05549900750225</v>
      </c>
      <c r="K5" s="193">
        <f t="shared" si="8"/>
        <v>1.4333555094657704</v>
      </c>
      <c r="L5" s="194">
        <f t="shared" si="9"/>
        <v>799.31452470103432</v>
      </c>
      <c r="M5" s="194">
        <f t="shared" si="10"/>
        <v>596.19682154304667</v>
      </c>
    </row>
    <row r="6" spans="1:14" x14ac:dyDescent="0.3">
      <c r="A6" s="76">
        <v>5</v>
      </c>
      <c r="B6" s="76">
        <v>2029</v>
      </c>
      <c r="C6" s="194">
        <f t="shared" si="2"/>
        <v>106.88855543362865</v>
      </c>
      <c r="D6" s="196">
        <f t="shared" si="3"/>
        <v>6.1871822762271551E-2</v>
      </c>
      <c r="E6" s="76">
        <f t="shared" si="0"/>
        <v>1.05</v>
      </c>
      <c r="F6" s="195">
        <f t="shared" si="1"/>
        <v>0.10266269734072059</v>
      </c>
      <c r="G6" s="193">
        <f t="shared" si="4"/>
        <v>1.5220516712024419</v>
      </c>
      <c r="H6" s="194">
        <f t="shared" si="5"/>
        <v>-11057.511874230549</v>
      </c>
      <c r="I6" s="194">
        <f t="shared" si="6"/>
        <v>-644.28530846069225</v>
      </c>
      <c r="J6" s="193">
        <f t="shared" si="7"/>
        <v>-644.28029501611229</v>
      </c>
      <c r="K6" s="193">
        <f t="shared" si="8"/>
        <v>1.5220398275027622</v>
      </c>
      <c r="L6" s="194">
        <f t="shared" si="9"/>
        <v>749.64681062223815</v>
      </c>
      <c r="M6" s="194">
        <f t="shared" si="10"/>
        <v>507.09107445942419</v>
      </c>
    </row>
    <row r="7" spans="1:14" x14ac:dyDescent="0.3">
      <c r="A7" s="76">
        <v>6</v>
      </c>
      <c r="B7" s="76">
        <v>2030</v>
      </c>
      <c r="C7" s="194">
        <f t="shared" si="2"/>
        <v>113.50194519073338</v>
      </c>
      <c r="D7" s="196">
        <f t="shared" si="3"/>
        <v>5.1559852301892958E-2</v>
      </c>
      <c r="E7" s="76">
        <f t="shared" si="0"/>
        <v>1.05</v>
      </c>
      <c r="F7" s="195">
        <f t="shared" si="1"/>
        <v>0.10266269734072059</v>
      </c>
      <c r="G7" s="193">
        <f t="shared" si="4"/>
        <v>1.6005284305654892</v>
      </c>
      <c r="H7" s="194">
        <f t="shared" si="5"/>
        <v>-11627.635553292304</v>
      </c>
      <c r="I7" s="194">
        <f t="shared" si="6"/>
        <v>-570.12367906175496</v>
      </c>
      <c r="J7" s="193">
        <f t="shared" si="7"/>
        <v>-570.11924269880956</v>
      </c>
      <c r="K7" s="193">
        <f t="shared" si="8"/>
        <v>1.6005159762064034</v>
      </c>
      <c r="L7" s="194">
        <f t="shared" si="9"/>
        <v>682.02067191333651</v>
      </c>
      <c r="M7" s="194">
        <f t="shared" si="10"/>
        <v>418.39272479007553</v>
      </c>
    </row>
    <row r="8" spans="1:14" x14ac:dyDescent="0.3">
      <c r="A8" s="76">
        <v>7</v>
      </c>
      <c r="B8" s="76">
        <v>2031</v>
      </c>
      <c r="C8" s="194">
        <f t="shared" si="2"/>
        <v>119.35408872074514</v>
      </c>
      <c r="D8" s="196">
        <f t="shared" si="3"/>
        <v>4.1247881841514365E-2</v>
      </c>
      <c r="E8" s="76">
        <f t="shared" si="0"/>
        <v>1.05</v>
      </c>
      <c r="F8" s="195">
        <f t="shared" si="1"/>
        <v>0.10266269734072059</v>
      </c>
      <c r="G8" s="193">
        <f t="shared" si="4"/>
        <v>1.6665468381534387</v>
      </c>
      <c r="H8" s="194">
        <f t="shared" si="5"/>
        <v>-12107.250890690695</v>
      </c>
      <c r="I8" s="194">
        <f t="shared" si="6"/>
        <v>-479.61533739839069</v>
      </c>
      <c r="J8" s="193">
        <f t="shared" si="7"/>
        <v>-479.61160531745981</v>
      </c>
      <c r="K8" s="193">
        <f t="shared" si="8"/>
        <v>1.6665338700784209</v>
      </c>
      <c r="L8" s="194">
        <f t="shared" si="9"/>
        <v>597.29916016812649</v>
      </c>
      <c r="M8" s="194">
        <f t="shared" si="10"/>
        <v>332.30418232665852</v>
      </c>
    </row>
    <row r="9" spans="1:14" x14ac:dyDescent="0.3">
      <c r="A9" s="76">
        <v>8</v>
      </c>
      <c r="B9" s="76">
        <v>2032</v>
      </c>
      <c r="C9" s="194">
        <f t="shared" si="2"/>
        <v>124.27719206960005</v>
      </c>
      <c r="D9" s="196">
        <f t="shared" si="3"/>
        <v>3.0935911381135772E-2</v>
      </c>
      <c r="E9" s="76">
        <f t="shared" si="0"/>
        <v>1.05</v>
      </c>
      <c r="F9" s="195">
        <f t="shared" si="1"/>
        <v>0.10266269734072059</v>
      </c>
      <c r="G9" s="193">
        <f t="shared" si="4"/>
        <v>1.7181029834510657</v>
      </c>
      <c r="H9" s="194">
        <f t="shared" si="5"/>
        <v>-12481.799731314281</v>
      </c>
      <c r="I9" s="194">
        <f t="shared" si="6"/>
        <v>-374.54884062358542</v>
      </c>
      <c r="J9" s="193">
        <f t="shared" si="7"/>
        <v>-374.54592610756231</v>
      </c>
      <c r="K9" s="193">
        <f t="shared" si="8"/>
        <v>1.7180896141968283</v>
      </c>
      <c r="L9" s="194">
        <f t="shared" si="9"/>
        <v>497.10502856296551</v>
      </c>
      <c r="M9" s="194">
        <f t="shared" si="10"/>
        <v>250.81261529154256</v>
      </c>
    </row>
    <row r="10" spans="1:14" x14ac:dyDescent="0.3">
      <c r="A10" s="76">
        <v>9</v>
      </c>
      <c r="B10" s="76">
        <v>2033</v>
      </c>
      <c r="C10" s="194">
        <f t="shared" si="2"/>
        <v>128.12182027016158</v>
      </c>
      <c r="D10" s="196">
        <f t="shared" si="3"/>
        <v>2.0623940920757179E-2</v>
      </c>
      <c r="E10" s="76">
        <f t="shared" si="0"/>
        <v>1.05</v>
      </c>
      <c r="F10" s="195">
        <f t="shared" si="1"/>
        <v>0.10266269734072059</v>
      </c>
      <c r="G10" s="193">
        <f t="shared" si="4"/>
        <v>1.753537037877537</v>
      </c>
      <c r="H10" s="194">
        <f t="shared" si="5"/>
        <v>-12739.223631557628</v>
      </c>
      <c r="I10" s="194">
        <f t="shared" si="6"/>
        <v>-257.42390024334782</v>
      </c>
      <c r="J10" s="193">
        <f t="shared" si="7"/>
        <v>-257.42189712385948</v>
      </c>
      <c r="K10" s="193">
        <f t="shared" si="8"/>
        <v>1.7535233928965901</v>
      </c>
      <c r="L10" s="194">
        <f t="shared" si="9"/>
        <v>383.79019400112446</v>
      </c>
      <c r="M10" s="194">
        <f t="shared" si="10"/>
        <v>175.61128132788704</v>
      </c>
    </row>
    <row r="11" spans="1:14" x14ac:dyDescent="0.3">
      <c r="A11" s="76">
        <v>10</v>
      </c>
      <c r="B11" s="76">
        <v>2034</v>
      </c>
      <c r="C11" s="194">
        <f t="shared" si="2"/>
        <v>130.76419712207326</v>
      </c>
      <c r="D11" s="196">
        <f t="shared" si="3"/>
        <v>1.0311970460378584E-2</v>
      </c>
      <c r="E11" s="76">
        <f t="shared" si="0"/>
        <v>1.05</v>
      </c>
      <c r="F11" s="195">
        <f t="shared" si="1"/>
        <v>0.10266269734072059</v>
      </c>
      <c r="G11" s="193">
        <f t="shared" si="4"/>
        <v>1.7716194600133102</v>
      </c>
      <c r="H11" s="194">
        <f t="shared" si="5"/>
        <v>-12870.590129334409</v>
      </c>
      <c r="I11" s="194">
        <f t="shared" si="6"/>
        <v>-131.36649777678031</v>
      </c>
      <c r="J11" s="193">
        <f t="shared" si="7"/>
        <v>-131.36547556092714</v>
      </c>
      <c r="K11" s="193">
        <f t="shared" si="8"/>
        <v>1.7716056743257227</v>
      </c>
      <c r="L11" s="194">
        <f t="shared" si="9"/>
        <v>260.35806700867465</v>
      </c>
      <c r="M11" s="194">
        <f t="shared" si="10"/>
        <v>108.04057659280878</v>
      </c>
    </row>
    <row r="12" spans="1:14" x14ac:dyDescent="0.3">
      <c r="A12" s="76">
        <v>11</v>
      </c>
      <c r="B12" s="76">
        <v>2035</v>
      </c>
      <c r="C12" s="194">
        <f t="shared" si="2"/>
        <v>132.1126336600712</v>
      </c>
      <c r="D12" s="196">
        <f t="shared" si="3"/>
        <v>0</v>
      </c>
      <c r="E12" s="76">
        <f t="shared" si="0"/>
        <v>1.05</v>
      </c>
      <c r="F12" s="195">
        <f t="shared" si="1"/>
        <v>0.10266269734072059</v>
      </c>
      <c r="G12" s="193">
        <f t="shared" si="4"/>
        <v>1.7716194600133102</v>
      </c>
      <c r="H12" s="194">
        <f t="shared" si="5"/>
        <v>-12870.590129334409</v>
      </c>
      <c r="I12" s="194">
        <f t="shared" si="6"/>
        <v>0</v>
      </c>
      <c r="J12" s="193">
        <f t="shared" si="7"/>
        <v>0</v>
      </c>
      <c r="K12" s="193">
        <f t="shared" si="8"/>
        <v>1.7716056743257227</v>
      </c>
      <c r="L12" s="194">
        <f t="shared" si="9"/>
        <v>130.34102798574548</v>
      </c>
      <c r="M12" s="203">
        <f>F23</f>
        <v>526.8467750841404</v>
      </c>
    </row>
    <row r="13" spans="1:14" x14ac:dyDescent="0.3">
      <c r="A13" s="76"/>
      <c r="B13" s="76"/>
      <c r="C13" s="76"/>
      <c r="D13" s="76"/>
      <c r="E13" s="76"/>
      <c r="F13" s="76"/>
      <c r="G13" s="76"/>
      <c r="H13" s="76"/>
      <c r="I13" s="76"/>
      <c r="J13" s="76"/>
      <c r="K13" s="193"/>
      <c r="L13" s="192">
        <f>SUM(L3:L11)</f>
        <v>5645.4292787699887</v>
      </c>
      <c r="M13" s="202">
        <f>SUM(M3:M12)</f>
        <v>4364.9995011693482</v>
      </c>
      <c r="N13" s="191"/>
    </row>
    <row r="14" spans="1:14" x14ac:dyDescent="0.3">
      <c r="B14" s="182" t="s">
        <v>300</v>
      </c>
      <c r="C14" s="189">
        <f>'FCFE (H) '!C14</f>
        <v>0.10311970460378594</v>
      </c>
      <c r="D14" s="2"/>
      <c r="E14" s="2" t="s">
        <v>314</v>
      </c>
      <c r="F14" s="189">
        <v>5.5E-2</v>
      </c>
      <c r="K14" s="179"/>
      <c r="L14" s="190" t="s">
        <v>298</v>
      </c>
      <c r="M14" s="201">
        <f>M13*C20</f>
        <v>2760861.1824343111</v>
      </c>
      <c r="N14" s="177"/>
    </row>
    <row r="15" spans="1:14" x14ac:dyDescent="0.3">
      <c r="B15" s="182"/>
      <c r="C15" s="10"/>
      <c r="D15" s="2"/>
      <c r="E15" s="2" t="s">
        <v>313</v>
      </c>
      <c r="F15" s="189">
        <f>'FCFE (H) '!F15</f>
        <v>0.10039304508640057</v>
      </c>
      <c r="K15" s="179"/>
      <c r="L15" s="187"/>
      <c r="M15" s="179"/>
      <c r="N15" s="177"/>
    </row>
    <row r="16" spans="1:14" x14ac:dyDescent="0.3">
      <c r="B16" s="182" t="s">
        <v>296</v>
      </c>
      <c r="C16" s="188">
        <f>(C14-0)/10</f>
        <v>1.0311970460378595E-2</v>
      </c>
      <c r="D16" s="2"/>
      <c r="E16" s="2"/>
      <c r="F16" s="26" t="s">
        <v>295</v>
      </c>
      <c r="K16" s="179"/>
      <c r="L16" s="187"/>
      <c r="M16" s="179"/>
      <c r="N16" s="177"/>
    </row>
    <row r="17" spans="2:14" x14ac:dyDescent="0.3">
      <c r="B17" s="182"/>
      <c r="C17" s="2"/>
      <c r="D17" s="2"/>
      <c r="E17" s="2" t="s">
        <v>294</v>
      </c>
      <c r="F17" s="180">
        <f>'FCFE (H) '!F17</f>
        <v>714.79000000000008</v>
      </c>
      <c r="K17" s="200" t="s">
        <v>293</v>
      </c>
      <c r="L17" s="199">
        <f>F22+L13</f>
        <v>6915.0338319521934</v>
      </c>
      <c r="N17" s="177"/>
    </row>
    <row r="18" spans="2:14" x14ac:dyDescent="0.3">
      <c r="B18" s="182" t="s">
        <v>292</v>
      </c>
      <c r="C18" s="2">
        <v>1.05</v>
      </c>
      <c r="D18" s="2"/>
      <c r="E18" s="2" t="s">
        <v>291</v>
      </c>
      <c r="F18" s="2">
        <f>'FCFE (H) '!F18</f>
        <v>0</v>
      </c>
      <c r="K18" s="179"/>
      <c r="N18" s="177"/>
    </row>
    <row r="19" spans="2:14" x14ac:dyDescent="0.3">
      <c r="B19" s="182"/>
      <c r="C19" s="183"/>
      <c r="D19" s="2"/>
      <c r="E19" s="2" t="s">
        <v>30</v>
      </c>
      <c r="F19" s="2">
        <f>'FCFE (H) '!F19</f>
        <v>-5192858.47</v>
      </c>
      <c r="K19" s="179"/>
      <c r="N19" s="177"/>
    </row>
    <row r="20" spans="2:14" x14ac:dyDescent="0.3">
      <c r="B20" s="182" t="s">
        <v>290</v>
      </c>
      <c r="C20" s="184">
        <f>'Data Sheet'!B6</f>
        <v>632.49977043403987</v>
      </c>
      <c r="D20" s="2"/>
      <c r="E20" s="2"/>
      <c r="F20" s="2"/>
      <c r="K20" s="179"/>
      <c r="N20" s="177"/>
    </row>
    <row r="21" spans="2:14" x14ac:dyDescent="0.3">
      <c r="B21" s="182"/>
      <c r="C21" s="2"/>
      <c r="D21" s="2"/>
      <c r="E21" s="2" t="s">
        <v>289</v>
      </c>
      <c r="F21" s="183">
        <f>'FCFE (H) '!F21</f>
        <v>7.7814044711950085E-6</v>
      </c>
      <c r="K21" s="308"/>
      <c r="L21" s="308"/>
      <c r="N21" s="177"/>
    </row>
    <row r="22" spans="2:14" x14ac:dyDescent="0.3">
      <c r="B22" s="182"/>
      <c r="C22" s="2"/>
      <c r="D22" s="2"/>
      <c r="E22" s="2" t="s">
        <v>287</v>
      </c>
      <c r="F22" s="180">
        <f>L12/(F12-D12)</f>
        <v>1269.6045531822049</v>
      </c>
      <c r="K22" s="308"/>
      <c r="L22" s="308"/>
      <c r="N22" s="177"/>
    </row>
    <row r="23" spans="2:14" x14ac:dyDescent="0.3">
      <c r="B23" s="178"/>
      <c r="E23" s="2" t="s">
        <v>285</v>
      </c>
      <c r="F23" s="22">
        <f>(F22)/((1+F10)*(1+F9)*(1+F8)*(1+F7)*(1+F6)^5)</f>
        <v>526.8467750841404</v>
      </c>
      <c r="G23" s="187"/>
      <c r="K23" s="179"/>
      <c r="N23" s="177"/>
    </row>
    <row r="24" spans="2:14" x14ac:dyDescent="0.3">
      <c r="B24" s="178"/>
      <c r="K24" s="198"/>
      <c r="N24" s="177"/>
    </row>
    <row r="25" spans="2:14" ht="15" thickBot="1" x14ac:dyDescent="0.35">
      <c r="B25" s="176" t="s">
        <v>282</v>
      </c>
      <c r="C25" s="175">
        <f>'Data Sheet'!B8</f>
        <v>936.55</v>
      </c>
      <c r="D25" s="175"/>
      <c r="E25" s="175"/>
      <c r="F25" s="175"/>
      <c r="G25" s="175"/>
      <c r="H25" s="175"/>
      <c r="I25" s="175"/>
      <c r="J25" s="175"/>
      <c r="K25" s="175"/>
      <c r="L25" s="175"/>
      <c r="M25" s="175"/>
      <c r="N25" s="174"/>
    </row>
  </sheetData>
  <mergeCells count="1">
    <mergeCell ref="K21:L22"/>
  </mergeCells>
  <conditionalFormatting sqref="K21:L22">
    <cfRule type="expression" dxfId="2" priority="1">
      <formula>$K$21="UNDER VALUED"</formula>
    </cfRule>
    <cfRule type="expression" dxfId="1" priority="2">
      <formula>$K$21="OVER VALUED"</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B6D7-F7AE-4B10-989E-F0DD26C185E4}">
  <sheetPr>
    <tabColor rgb="FFFFC000"/>
  </sheetPr>
  <dimension ref="A1:J32"/>
  <sheetViews>
    <sheetView topLeftCell="A17" zoomScale="96" zoomScaleNormal="130" zoomScalePageLayoutView="320" workbookViewId="0">
      <selection activeCell="D26" sqref="D26"/>
    </sheetView>
  </sheetViews>
  <sheetFormatPr defaultColWidth="12.77734375" defaultRowHeight="13.2" x14ac:dyDescent="0.25"/>
  <cols>
    <col min="1" max="1" width="23.33203125" style="42" bestFit="1" customWidth="1"/>
    <col min="2" max="2" width="10.44140625" style="42" bestFit="1" customWidth="1"/>
    <col min="3" max="3" width="13.109375" style="42" bestFit="1" customWidth="1"/>
    <col min="4" max="4" width="12.44140625" style="42" customWidth="1"/>
    <col min="5" max="5" width="9.6640625" style="42" bestFit="1" customWidth="1"/>
    <col min="6" max="6" width="23.33203125" style="42" bestFit="1" customWidth="1"/>
    <col min="7" max="8" width="12.77734375" style="42"/>
    <col min="9" max="9" width="31.33203125" style="42" customWidth="1"/>
    <col min="10" max="10" width="41.33203125" style="42" customWidth="1"/>
    <col min="11" max="16384" width="12.77734375" style="42"/>
  </cols>
  <sheetData>
    <row r="1" spans="1:9" ht="19.2" x14ac:dyDescent="0.35">
      <c r="A1" s="310" t="s">
        <v>316</v>
      </c>
      <c r="B1" s="311"/>
      <c r="C1" s="311"/>
      <c r="D1" s="311"/>
      <c r="E1" s="311"/>
      <c r="F1" s="312"/>
    </row>
    <row r="2" spans="1:9" ht="13.8" thickBot="1" x14ac:dyDescent="0.3">
      <c r="A2" s="313" t="str">
        <f>'Data Sheet'!B1</f>
        <v>LIFE INSURANCE CORPORATION OF INDIA</v>
      </c>
      <c r="B2" s="314"/>
      <c r="C2" s="314"/>
      <c r="D2" s="314"/>
      <c r="E2" s="314"/>
      <c r="F2" s="315"/>
    </row>
    <row r="3" spans="1:9" ht="13.8" thickBot="1" x14ac:dyDescent="0.3">
      <c r="A3" s="204"/>
      <c r="B3" s="204"/>
      <c r="C3" s="204"/>
    </row>
    <row r="4" spans="1:9" ht="13.8" thickBot="1" x14ac:dyDescent="0.3">
      <c r="A4" s="42" t="s">
        <v>317</v>
      </c>
      <c r="B4" s="205">
        <f>'Cash Flow'!K14</f>
        <v>30482.308779999999</v>
      </c>
      <c r="D4" s="206">
        <f>$B$18*(1+$C$7)^A14</f>
        <v>68668.108158997027</v>
      </c>
      <c r="H4" s="207"/>
      <c r="I4" s="43"/>
    </row>
    <row r="5" spans="1:9" ht="13.8" thickBot="1" x14ac:dyDescent="0.3">
      <c r="D5" s="206">
        <f>$B$18*(1+$C$7)^A15</f>
        <v>76908.28113807668</v>
      </c>
      <c r="H5" s="208"/>
      <c r="I5" s="43"/>
    </row>
    <row r="6" spans="1:9" ht="13.8" thickBot="1" x14ac:dyDescent="0.3">
      <c r="A6" s="209" t="s">
        <v>318</v>
      </c>
      <c r="B6" s="210" t="s">
        <v>319</v>
      </c>
      <c r="C6" s="211" t="s">
        <v>320</v>
      </c>
      <c r="D6" s="206">
        <f>$B$18*(1+$C$7)^A16</f>
        <v>86137.274874645896</v>
      </c>
      <c r="F6" s="210" t="s">
        <v>319</v>
      </c>
      <c r="G6" s="211" t="s">
        <v>320</v>
      </c>
      <c r="H6" s="43"/>
      <c r="I6" s="43"/>
    </row>
    <row r="7" spans="1:9" ht="13.8" thickBot="1" x14ac:dyDescent="0.3">
      <c r="A7" s="42" t="s">
        <v>321</v>
      </c>
      <c r="B7" s="212">
        <v>0.15</v>
      </c>
      <c r="C7" s="213">
        <v>0.12</v>
      </c>
      <c r="D7" s="206">
        <f>$B$18*(1+$C$7)^A17</f>
        <v>96473.747859603391</v>
      </c>
      <c r="F7" s="212">
        <v>0.1</v>
      </c>
      <c r="G7" s="213">
        <v>0.05</v>
      </c>
      <c r="H7" s="214"/>
      <c r="I7" s="43"/>
    </row>
    <row r="8" spans="1:9" ht="13.8" thickBot="1" x14ac:dyDescent="0.3">
      <c r="A8" s="42" t="s">
        <v>188</v>
      </c>
      <c r="B8" s="215">
        <v>5.5E-2</v>
      </c>
      <c r="C8" s="136"/>
      <c r="D8" s="206">
        <f>$B$18*(1+$C$7)^A18</f>
        <v>108050.59760275581</v>
      </c>
    </row>
    <row r="9" spans="1:9" ht="13.8" thickBot="1" x14ac:dyDescent="0.3">
      <c r="A9" s="42" t="s">
        <v>322</v>
      </c>
      <c r="B9" s="216">
        <v>0.02</v>
      </c>
      <c r="C9" s="217">
        <v>0.01</v>
      </c>
      <c r="E9" s="218"/>
      <c r="F9" s="121"/>
    </row>
    <row r="10" spans="1:9" ht="13.8" thickBot="1" x14ac:dyDescent="0.3">
      <c r="B10" s="219"/>
      <c r="C10" s="136"/>
      <c r="E10" s="220"/>
      <c r="F10" s="121"/>
    </row>
    <row r="11" spans="1:9" ht="13.8" thickBot="1" x14ac:dyDescent="0.3">
      <c r="A11" s="221" t="s">
        <v>323</v>
      </c>
      <c r="B11" s="222">
        <f>'Balance Sheet'!K6-'Balance Sheet'!K19</f>
        <v>-69883.67</v>
      </c>
      <c r="C11" s="136"/>
      <c r="D11" s="223"/>
      <c r="E11" s="224"/>
      <c r="F11" s="121"/>
    </row>
    <row r="12" spans="1:9" ht="13.8" thickBot="1" x14ac:dyDescent="0.3">
      <c r="E12" s="225"/>
      <c r="F12" s="121"/>
    </row>
    <row r="13" spans="1:9" x14ac:dyDescent="0.25">
      <c r="A13" s="226" t="s">
        <v>311</v>
      </c>
      <c r="B13" s="227" t="s">
        <v>120</v>
      </c>
      <c r="C13" s="227" t="s">
        <v>324</v>
      </c>
      <c r="D13" s="228" t="s">
        <v>325</v>
      </c>
      <c r="F13" s="226" t="s">
        <v>311</v>
      </c>
      <c r="G13" s="227" t="s">
        <v>120</v>
      </c>
      <c r="H13" s="227" t="s">
        <v>324</v>
      </c>
      <c r="I13" s="228" t="s">
        <v>325</v>
      </c>
    </row>
    <row r="14" spans="1:9" x14ac:dyDescent="0.25">
      <c r="A14" s="229">
        <v>1</v>
      </c>
      <c r="B14" s="230">
        <f>B4*(1+C14)</f>
        <v>35054.655096999995</v>
      </c>
      <c r="C14" s="231">
        <f>$B$7</f>
        <v>0.15</v>
      </c>
      <c r="D14" s="232">
        <f>B14/((1+$B$8)^A14)</f>
        <v>33227.161229383884</v>
      </c>
      <c r="E14" s="233"/>
      <c r="F14" s="229">
        <v>1</v>
      </c>
      <c r="G14" s="230">
        <f>(B4*H14)+B4</f>
        <v>33530.539658000002</v>
      </c>
      <c r="H14" s="231">
        <v>0.1</v>
      </c>
      <c r="I14" s="232">
        <f>G14/((1+$B$8)^F14)</f>
        <v>31782.502045497633</v>
      </c>
    </row>
    <row r="15" spans="1:9" x14ac:dyDescent="0.25">
      <c r="A15" s="229">
        <v>2</v>
      </c>
      <c r="B15" s="230">
        <f>B14*(1+C15)^A14</f>
        <v>40312.853361549991</v>
      </c>
      <c r="C15" s="231">
        <f>$B$7</f>
        <v>0.15</v>
      </c>
      <c r="D15" s="232">
        <f t="shared" ref="D15:D23" si="0">B15/((1+$B$8)^A15)</f>
        <v>36219.180487006124</v>
      </c>
      <c r="E15" s="233"/>
      <c r="F15" s="229">
        <v>2</v>
      </c>
      <c r="G15" s="230">
        <f t="shared" ref="G15:G23" si="1">(G14*H15)+G14</f>
        <v>36883.593623799999</v>
      </c>
      <c r="H15" s="231">
        <v>0.1</v>
      </c>
      <c r="I15" s="232">
        <f t="shared" ref="I15:I23" si="2">G15/((1+$B$8)^F15)</f>
        <v>33138.153791514116</v>
      </c>
    </row>
    <row r="16" spans="1:9" x14ac:dyDescent="0.25">
      <c r="A16" s="229">
        <v>3</v>
      </c>
      <c r="B16" s="230">
        <f>(B15*C16)+B15</f>
        <v>46359.781365782488</v>
      </c>
      <c r="C16" s="231">
        <f>$B$7</f>
        <v>0.15</v>
      </c>
      <c r="D16" s="232">
        <f t="shared" si="0"/>
        <v>39480.623279674925</v>
      </c>
      <c r="E16" s="233"/>
      <c r="F16" s="229">
        <v>3</v>
      </c>
      <c r="G16" s="230">
        <f t="shared" si="1"/>
        <v>40571.952986179997</v>
      </c>
      <c r="H16" s="231">
        <v>0.1</v>
      </c>
      <c r="I16" s="232">
        <f t="shared" si="2"/>
        <v>34551.629545654534</v>
      </c>
    </row>
    <row r="17" spans="1:10" x14ac:dyDescent="0.25">
      <c r="A17" s="229">
        <v>4</v>
      </c>
      <c r="B17" s="230">
        <f t="shared" ref="B17:B22" si="3">(B16*C17)+B16</f>
        <v>53313.748570649863</v>
      </c>
      <c r="C17" s="231">
        <f>$B$7</f>
        <v>0.15</v>
      </c>
      <c r="D17" s="232">
        <f t="shared" si="0"/>
        <v>43035.750494432388</v>
      </c>
      <c r="E17" s="233"/>
      <c r="F17" s="229">
        <v>4</v>
      </c>
      <c r="G17" s="230">
        <f t="shared" si="1"/>
        <v>44629.148284797993</v>
      </c>
      <c r="H17" s="231">
        <v>0.1</v>
      </c>
      <c r="I17" s="232">
        <f t="shared" si="2"/>
        <v>36025.395734805672</v>
      </c>
    </row>
    <row r="18" spans="1:10" x14ac:dyDescent="0.25">
      <c r="A18" s="229">
        <v>5</v>
      </c>
      <c r="B18" s="230">
        <f>(B17*C18)+B17</f>
        <v>61310.810856247343</v>
      </c>
      <c r="C18" s="231">
        <f>$B$7</f>
        <v>0.15</v>
      </c>
      <c r="D18" s="232">
        <f t="shared" si="0"/>
        <v>46911.007647959479</v>
      </c>
      <c r="E18" s="233"/>
      <c r="F18" s="229">
        <v>5</v>
      </c>
      <c r="G18" s="230">
        <f t="shared" si="1"/>
        <v>49092.063113277793</v>
      </c>
      <c r="H18" s="231">
        <v>0.1</v>
      </c>
      <c r="I18" s="232">
        <f t="shared" si="2"/>
        <v>37562.023988896908</v>
      </c>
    </row>
    <row r="19" spans="1:10" x14ac:dyDescent="0.25">
      <c r="A19" s="229">
        <v>6</v>
      </c>
      <c r="B19" s="230">
        <f>(B18*C19)+B18</f>
        <v>68668.108158997027</v>
      </c>
      <c r="C19" s="231">
        <f>$C$7</f>
        <v>0.12</v>
      </c>
      <c r="D19" s="232">
        <f t="shared" si="0"/>
        <v>49801.259303994899</v>
      </c>
      <c r="E19" s="233"/>
      <c r="F19" s="229">
        <v>6</v>
      </c>
      <c r="G19" s="230">
        <f t="shared" si="1"/>
        <v>51546.666268941684</v>
      </c>
      <c r="H19" s="231">
        <v>0.05</v>
      </c>
      <c r="I19" s="232">
        <f t="shared" si="2"/>
        <v>37384.004917859485</v>
      </c>
    </row>
    <row r="20" spans="1:10" x14ac:dyDescent="0.25">
      <c r="A20" s="229">
        <v>7</v>
      </c>
      <c r="B20" s="230">
        <f>(B19*C20)+B19</f>
        <v>76908.281138076665</v>
      </c>
      <c r="C20" s="231">
        <f>$C$7</f>
        <v>0.12</v>
      </c>
      <c r="D20" s="232">
        <f t="shared" si="0"/>
        <v>52869.583336942451</v>
      </c>
      <c r="E20" s="233"/>
      <c r="F20" s="229">
        <v>7</v>
      </c>
      <c r="G20" s="230">
        <f t="shared" si="1"/>
        <v>54123.999582388766</v>
      </c>
      <c r="H20" s="231">
        <v>0.05</v>
      </c>
      <c r="I20" s="232">
        <f t="shared" si="2"/>
        <v>37206.829539101862</v>
      </c>
    </row>
    <row r="21" spans="1:10" x14ac:dyDescent="0.25">
      <c r="A21" s="229">
        <v>8</v>
      </c>
      <c r="B21" s="230">
        <f t="shared" si="3"/>
        <v>86137.274874645867</v>
      </c>
      <c r="C21" s="231">
        <f>$C$7</f>
        <v>0.12</v>
      </c>
      <c r="D21" s="232">
        <f t="shared" si="0"/>
        <v>56126.95103068772</v>
      </c>
      <c r="E21" s="233"/>
      <c r="F21" s="229">
        <v>8</v>
      </c>
      <c r="G21" s="230">
        <f t="shared" si="1"/>
        <v>56830.199561508205</v>
      </c>
      <c r="H21" s="231">
        <v>0.05</v>
      </c>
      <c r="I21" s="232">
        <f t="shared" si="2"/>
        <v>37030.493854082422</v>
      </c>
    </row>
    <row r="22" spans="1:10" x14ac:dyDescent="0.25">
      <c r="A22" s="229">
        <v>9</v>
      </c>
      <c r="B22" s="230">
        <f t="shared" si="3"/>
        <v>96473.747859603376</v>
      </c>
      <c r="C22" s="231">
        <f>$C$7</f>
        <v>0.12</v>
      </c>
      <c r="D22" s="232">
        <f t="shared" si="0"/>
        <v>59585.009624995495</v>
      </c>
      <c r="E22" s="233"/>
      <c r="F22" s="229">
        <v>9</v>
      </c>
      <c r="G22" s="230">
        <f t="shared" si="1"/>
        <v>59671.709539583615</v>
      </c>
      <c r="H22" s="231">
        <v>0.05</v>
      </c>
      <c r="I22" s="232">
        <f t="shared" si="2"/>
        <v>36854.993883209994</v>
      </c>
    </row>
    <row r="23" spans="1:10" ht="13.8" thickBot="1" x14ac:dyDescent="0.3">
      <c r="A23" s="234">
        <v>10</v>
      </c>
      <c r="B23" s="235">
        <f>(B22*C23)+B22</f>
        <v>108050.59760275578</v>
      </c>
      <c r="C23" s="236">
        <f>$C$7</f>
        <v>0.12</v>
      </c>
      <c r="D23" s="232">
        <f t="shared" si="0"/>
        <v>63256.123962080528</v>
      </c>
      <c r="E23" s="233"/>
      <c r="F23" s="234">
        <v>10</v>
      </c>
      <c r="G23" s="235">
        <f t="shared" si="1"/>
        <v>62655.295016562799</v>
      </c>
      <c r="H23" s="231">
        <v>0.05</v>
      </c>
      <c r="I23" s="237">
        <f t="shared" si="2"/>
        <v>36680.325665754026</v>
      </c>
    </row>
    <row r="24" spans="1:10" ht="13.8" thickBot="1" x14ac:dyDescent="0.3">
      <c r="A24" s="238"/>
      <c r="B24" s="239"/>
      <c r="C24" s="240"/>
      <c r="D24" s="241"/>
      <c r="F24" s="238"/>
      <c r="G24" s="239"/>
      <c r="H24" s="240"/>
      <c r="I24" s="241"/>
    </row>
    <row r="25" spans="1:10" x14ac:dyDescent="0.25">
      <c r="A25" s="316" t="s">
        <v>326</v>
      </c>
      <c r="B25" s="317"/>
      <c r="C25" s="240"/>
      <c r="D25" s="242"/>
      <c r="F25" s="316" t="s">
        <v>327</v>
      </c>
      <c r="G25" s="317"/>
      <c r="H25" s="240"/>
      <c r="I25" s="241"/>
    </row>
    <row r="26" spans="1:10" ht="25.95" customHeight="1" x14ac:dyDescent="0.25">
      <c r="A26" s="243" t="s">
        <v>328</v>
      </c>
      <c r="B26" s="232">
        <f>B23*(1+B9)</f>
        <v>110211.6095548109</v>
      </c>
      <c r="C26" s="244"/>
      <c r="D26" s="242"/>
      <c r="F26" s="243" t="s">
        <v>328</v>
      </c>
      <c r="G26" s="232">
        <f>G23*(1+C9)</f>
        <v>63281.847966728426</v>
      </c>
      <c r="H26" s="244"/>
      <c r="I26" s="206">
        <f>G18*(1+G7)</f>
        <v>51546.666268941684</v>
      </c>
      <c r="J26" s="245" t="s">
        <v>329</v>
      </c>
    </row>
    <row r="27" spans="1:10" x14ac:dyDescent="0.25">
      <c r="A27" s="246" t="s">
        <v>330</v>
      </c>
      <c r="B27" s="232">
        <f>SUM(D14:D23)</f>
        <v>480512.65039715782</v>
      </c>
      <c r="C27" s="221"/>
      <c r="D27" s="242"/>
      <c r="F27" s="246" t="s">
        <v>330</v>
      </c>
      <c r="G27" s="232">
        <f>SUM(I14:I23)</f>
        <v>358216.3529663767</v>
      </c>
      <c r="H27" s="221"/>
      <c r="I27" s="247">
        <f>(B4*(1+F7)^5)*(1+G7)</f>
        <v>51546.666268941706</v>
      </c>
    </row>
    <row r="28" spans="1:10" x14ac:dyDescent="0.25">
      <c r="A28" s="243" t="s">
        <v>287</v>
      </c>
      <c r="B28" s="232">
        <f>((B26)/($B$8-$B$9))/(1+$B$8)^A23</f>
        <v>1843464.1840377753</v>
      </c>
      <c r="C28" s="248">
        <f>B26/(B8-B9)</f>
        <v>3148903.1301374538</v>
      </c>
      <c r="D28" s="242"/>
      <c r="F28" s="243" t="s">
        <v>287</v>
      </c>
      <c r="G28" s="249">
        <f>((G26)/($B$8-$C$9))/(1+$B$8)^F23</f>
        <v>823269.53160914592</v>
      </c>
      <c r="H28" s="221"/>
    </row>
    <row r="29" spans="1:10" x14ac:dyDescent="0.25">
      <c r="A29" s="243" t="s">
        <v>331</v>
      </c>
      <c r="B29" s="232">
        <f>B27+B28</f>
        <v>2323976.834434933</v>
      </c>
      <c r="C29" s="248">
        <f>C28/(1+B8)^A23</f>
        <v>1843464.1840377753</v>
      </c>
      <c r="D29" s="206"/>
      <c r="F29" s="243" t="s">
        <v>331</v>
      </c>
      <c r="G29" s="232">
        <f>G27+G28</f>
        <v>1181485.8845755225</v>
      </c>
      <c r="H29" s="221"/>
    </row>
    <row r="30" spans="1:10" x14ac:dyDescent="0.25">
      <c r="A30" s="243" t="s">
        <v>275</v>
      </c>
      <c r="B30" s="232">
        <f>'Basic Sheet'!D6</f>
        <v>592367.66</v>
      </c>
      <c r="C30" s="221"/>
      <c r="F30" s="243" t="s">
        <v>275</v>
      </c>
      <c r="G30" s="232">
        <f>B30</f>
        <v>592367.66</v>
      </c>
      <c r="H30" s="221"/>
    </row>
    <row r="31" spans="1:10" x14ac:dyDescent="0.25">
      <c r="A31" s="250" t="s">
        <v>332</v>
      </c>
      <c r="B31" s="250">
        <f>(B30/B29)-1</f>
        <v>-0.74510603925876384</v>
      </c>
      <c r="F31" s="250" t="s">
        <v>332</v>
      </c>
      <c r="G31" s="250">
        <f>(G30/G29)-1</f>
        <v>-0.49862485220225672</v>
      </c>
    </row>
    <row r="32" spans="1:10" x14ac:dyDescent="0.25">
      <c r="A32" s="251" t="s">
        <v>333</v>
      </c>
      <c r="B32" s="252">
        <f>B29/'Data Sheet'!B6</f>
        <v>3674.2730085738244</v>
      </c>
      <c r="F32" s="251" t="s">
        <v>333</v>
      </c>
      <c r="G32" s="253">
        <f>G29/'Data Sheet'!B6</f>
        <v>1867.9625508239351</v>
      </c>
    </row>
  </sheetData>
  <mergeCells count="4">
    <mergeCell ref="A1:F1"/>
    <mergeCell ref="A2:F2"/>
    <mergeCell ref="A25:B25"/>
    <mergeCell ref="F25:G25"/>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93187-6775-47BF-B5B5-AFDB47D7CD0B}">
  <sheetPr>
    <tabColor rgb="FFFFFF00"/>
  </sheetPr>
  <dimension ref="A1:H21"/>
  <sheetViews>
    <sheetView workbookViewId="0">
      <selection activeCell="E7" sqref="E7"/>
    </sheetView>
  </sheetViews>
  <sheetFormatPr defaultRowHeight="14.4" x14ac:dyDescent="0.3"/>
  <cols>
    <col min="1" max="1" width="27.5546875" customWidth="1"/>
    <col min="2" max="2" width="39.5546875" customWidth="1"/>
    <col min="3" max="3" width="10.44140625" customWidth="1"/>
    <col min="4" max="4" width="31" customWidth="1"/>
    <col min="5" max="5" width="47.6640625" customWidth="1"/>
  </cols>
  <sheetData>
    <row r="1" spans="1:8" ht="19.8" thickBot="1" x14ac:dyDescent="0.4">
      <c r="A1" s="318" t="s">
        <v>244</v>
      </c>
      <c r="B1" s="319"/>
      <c r="D1" s="318" t="s">
        <v>245</v>
      </c>
      <c r="E1" s="319"/>
    </row>
    <row r="3" spans="1:8" x14ac:dyDescent="0.3">
      <c r="A3" s="121" t="s">
        <v>246</v>
      </c>
      <c r="B3" s="122" t="s">
        <v>54</v>
      </c>
      <c r="D3" s="121" t="s">
        <v>246</v>
      </c>
      <c r="E3" s="122" t="s">
        <v>54</v>
      </c>
    </row>
    <row r="4" spans="1:8" x14ac:dyDescent="0.3">
      <c r="A4" s="123" t="s">
        <v>247</v>
      </c>
      <c r="B4" s="124">
        <v>45747</v>
      </c>
      <c r="D4" s="123" t="s">
        <v>247</v>
      </c>
      <c r="E4" s="124">
        <v>45747</v>
      </c>
    </row>
    <row r="5" spans="1:8" x14ac:dyDescent="0.3">
      <c r="B5" s="125"/>
      <c r="E5" s="125"/>
    </row>
    <row r="6" spans="1:8" x14ac:dyDescent="0.3">
      <c r="A6" s="123" t="s">
        <v>248</v>
      </c>
      <c r="B6" s="126">
        <f>AVERAGE('Profit &amp; Loss'!H12:K12)</f>
        <v>32339.384999999998</v>
      </c>
      <c r="D6" s="123" t="s">
        <v>248</v>
      </c>
      <c r="E6" s="127">
        <f>AVERAGE('Profit &amp; Loss'!H12:K12)</f>
        <v>32339.384999999998</v>
      </c>
    </row>
    <row r="7" spans="1:8" x14ac:dyDescent="0.3">
      <c r="A7" s="123" t="s">
        <v>249</v>
      </c>
      <c r="B7" s="127">
        <v>8.5</v>
      </c>
      <c r="D7" s="123" t="s">
        <v>249</v>
      </c>
      <c r="E7" s="127">
        <v>8.5</v>
      </c>
    </row>
    <row r="8" spans="1:8" x14ac:dyDescent="0.3">
      <c r="A8" s="123" t="s">
        <v>250</v>
      </c>
      <c r="B8" s="128">
        <f>C8/2</f>
        <v>0.42502638887527833</v>
      </c>
      <c r="C8" s="129">
        <f>('Profit &amp; Loss'!K12/'Profit &amp; Loss'!H12)^(1/4)-1</f>
        <v>0.85005277775055665</v>
      </c>
      <c r="D8" s="123" t="s">
        <v>250</v>
      </c>
      <c r="E8" s="128">
        <f>('Profit &amp; Loss'!K12/'Profit &amp; Loss'!H12)^(1/4)-1</f>
        <v>0.85005277775055665</v>
      </c>
    </row>
    <row r="9" spans="1:8" x14ac:dyDescent="0.3">
      <c r="B9" s="130"/>
      <c r="C9" s="42"/>
      <c r="E9" s="131"/>
    </row>
    <row r="10" spans="1:8" x14ac:dyDescent="0.3">
      <c r="A10" s="123" t="s">
        <v>251</v>
      </c>
      <c r="B10" s="132">
        <f>B6*(B7+2*B8)</f>
        <v>302374.95654999471</v>
      </c>
      <c r="D10" s="123" t="s">
        <v>251</v>
      </c>
      <c r="E10" s="132">
        <f>E6*(E7+2*E8)</f>
        <v>329865.14059998939</v>
      </c>
      <c r="F10">
        <f>(E6*(E7+2*E8)*5.5)/6.295</f>
        <v>288206.23880856897</v>
      </c>
    </row>
    <row r="11" spans="1:8" x14ac:dyDescent="0.3">
      <c r="A11" s="123" t="s">
        <v>252</v>
      </c>
      <c r="B11" s="133">
        <f>B10/'Data Sheet'!B6</f>
        <v>478.06334592421456</v>
      </c>
      <c r="C11" s="66"/>
      <c r="D11" s="123" t="s">
        <v>252</v>
      </c>
      <c r="E11" s="133">
        <f>E10/'Data Sheet'!B6</f>
        <v>521.52610328004744</v>
      </c>
      <c r="F11" s="138">
        <f>F10/'Data Sheet'!B6</f>
        <v>455.66220302466422</v>
      </c>
    </row>
    <row r="12" spans="1:8" x14ac:dyDescent="0.3">
      <c r="A12" s="123" t="s">
        <v>253</v>
      </c>
      <c r="B12" s="132">
        <f>'Data Sheet'!B9</f>
        <v>592367.66</v>
      </c>
      <c r="D12" s="123" t="s">
        <v>253</v>
      </c>
      <c r="E12" s="132">
        <f>'Data Sheet'!B9</f>
        <v>592367.66</v>
      </c>
      <c r="H12" s="24"/>
    </row>
    <row r="13" spans="1:8" x14ac:dyDescent="0.3">
      <c r="B13" s="134"/>
      <c r="C13" s="135"/>
    </row>
    <row r="14" spans="1:8" x14ac:dyDescent="0.3">
      <c r="A14" s="136" t="s">
        <v>254</v>
      </c>
      <c r="B14" s="131"/>
    </row>
    <row r="15" spans="1:8" x14ac:dyDescent="0.3">
      <c r="A15" s="43" t="s">
        <v>255</v>
      </c>
    </row>
    <row r="16" spans="1:8" x14ac:dyDescent="0.3">
      <c r="A16" s="137" t="s">
        <v>256</v>
      </c>
    </row>
    <row r="18" spans="1:4" x14ac:dyDescent="0.3">
      <c r="A18" s="43" t="s">
        <v>257</v>
      </c>
    </row>
    <row r="19" spans="1:4" ht="56.4" customHeight="1" x14ac:dyDescent="0.3">
      <c r="A19" s="320" t="s">
        <v>258</v>
      </c>
      <c r="B19" s="320"/>
      <c r="C19" s="320"/>
      <c r="D19" s="320"/>
    </row>
    <row r="21" spans="1:4" x14ac:dyDescent="0.3">
      <c r="A21" s="43" t="s">
        <v>259</v>
      </c>
    </row>
  </sheetData>
  <mergeCells count="3">
    <mergeCell ref="A1:B1"/>
    <mergeCell ref="D1:E1"/>
    <mergeCell ref="A19:D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4D03-8002-40B3-88A8-CF9FEB16BD5D}">
  <sheetPr>
    <tabColor rgb="FF0070C0"/>
  </sheetPr>
  <dimension ref="A1:K37"/>
  <sheetViews>
    <sheetView zoomScale="81" workbookViewId="0">
      <pane xSplit="1" ySplit="2" topLeftCell="B4" activePane="bottomRight" state="frozen"/>
      <selection pane="topRight" activeCell="B1" sqref="B1"/>
      <selection pane="bottomLeft" activeCell="A3" sqref="A3"/>
      <selection pane="bottomRight" activeCell="O14" sqref="O14"/>
    </sheetView>
  </sheetViews>
  <sheetFormatPr defaultRowHeight="14.4" x14ac:dyDescent="0.3"/>
  <cols>
    <col min="1" max="1" width="34.33203125" customWidth="1"/>
    <col min="2" max="2" width="14.77734375" customWidth="1"/>
    <col min="3" max="3" width="15" customWidth="1"/>
    <col min="4" max="4" width="10.44140625" customWidth="1"/>
    <col min="5" max="6" width="11.6640625" customWidth="1"/>
    <col min="7" max="7" width="11.88671875" customWidth="1"/>
    <col min="8" max="8" width="15.44140625" customWidth="1"/>
    <col min="9" max="9" width="16.109375" customWidth="1"/>
    <col min="10" max="10" width="11.77734375" bestFit="1" customWidth="1"/>
  </cols>
  <sheetData>
    <row r="1" spans="1:11" ht="19.2" x14ac:dyDescent="0.35">
      <c r="A1" s="310" t="s">
        <v>113</v>
      </c>
      <c r="B1" s="311"/>
      <c r="C1" s="311"/>
      <c r="D1" s="311"/>
      <c r="E1" s="311"/>
      <c r="F1" s="311"/>
      <c r="G1" s="311"/>
      <c r="H1" s="311"/>
      <c r="I1" s="271"/>
      <c r="J1" s="271"/>
      <c r="K1" s="271"/>
    </row>
    <row r="2" spans="1:11" ht="15" thickBot="1" x14ac:dyDescent="0.35">
      <c r="A2" s="321" t="str">
        <f>'Basic Sheet'!D2</f>
        <v>LIFE INSURANCE CORPORATION OF INDIA</v>
      </c>
      <c r="B2" s="322"/>
      <c r="C2" s="322"/>
      <c r="D2" s="322"/>
      <c r="E2" s="322"/>
      <c r="F2" s="322"/>
      <c r="G2" s="322"/>
      <c r="H2" s="322"/>
      <c r="I2" s="272"/>
      <c r="J2" s="272"/>
      <c r="K2" s="272"/>
    </row>
    <row r="3" spans="1:11" x14ac:dyDescent="0.3">
      <c r="A3" s="29" t="s">
        <v>98</v>
      </c>
      <c r="B3" s="44">
        <f>(Annual[[#This Row],[Column5]])</f>
        <v>43555</v>
      </c>
      <c r="C3" s="44">
        <f>(Annual[[#This Row],[Column6]])</f>
        <v>43921</v>
      </c>
      <c r="D3" s="44">
        <f>(Annual[[#This Row],[Column7]])</f>
        <v>44286</v>
      </c>
      <c r="E3" s="44">
        <f>(Annual[[#This Row],[Column8]])</f>
        <v>44651</v>
      </c>
      <c r="F3" s="44">
        <f>(Annual[[#This Row],[Column9]])</f>
        <v>45016</v>
      </c>
      <c r="G3" s="44">
        <f>(Annual[[#This Row],[Column10]])</f>
        <v>45382</v>
      </c>
      <c r="H3" s="44">
        <f>(Annual[[#This Row],[Column11]])</f>
        <v>45747</v>
      </c>
      <c r="I3" s="43"/>
      <c r="J3" s="43"/>
      <c r="K3" s="43"/>
    </row>
    <row r="4" spans="1:11" x14ac:dyDescent="0.3">
      <c r="A4" s="30" t="s">
        <v>6</v>
      </c>
      <c r="B4" s="45">
        <f>(Annual[[#This Row],[Column5]])</f>
        <v>571507.92000000004</v>
      </c>
      <c r="C4" s="45">
        <f>(Annual[[#This Row],[Column6]])</f>
        <v>628042.79</v>
      </c>
      <c r="D4" s="45">
        <f>(Annual[[#This Row],[Column7]])</f>
        <v>690913.83</v>
      </c>
      <c r="E4" s="45">
        <f>(Annual[[#This Row],[Column8]])</f>
        <v>723606.29</v>
      </c>
      <c r="F4" s="45">
        <f>(Annual[[#This Row],[Column9]])</f>
        <v>784627.65</v>
      </c>
      <c r="G4" s="45">
        <f>(Annual[[#This Row],[Column10]])</f>
        <v>845966.37</v>
      </c>
      <c r="H4" s="45">
        <f>(Annual[[#This Row],[Column11]])</f>
        <v>889970.02</v>
      </c>
      <c r="I4" s="43"/>
      <c r="J4" s="43"/>
      <c r="K4" s="43"/>
    </row>
    <row r="5" spans="1:11" x14ac:dyDescent="0.3">
      <c r="A5" s="31" t="s">
        <v>99</v>
      </c>
      <c r="B5" s="68">
        <v>0</v>
      </c>
      <c r="C5" s="68">
        <f>(C4/B4)-1</f>
        <v>9.8922286151345018E-2</v>
      </c>
      <c r="D5" s="68">
        <f t="shared" ref="D5:H5" si="0">(D4/C4)-1</f>
        <v>0.10010630008187804</v>
      </c>
      <c r="E5" s="68">
        <f t="shared" si="0"/>
        <v>4.7317709648394324E-2</v>
      </c>
      <c r="F5" s="68">
        <f t="shared" si="0"/>
        <v>8.4329504653697818E-2</v>
      </c>
      <c r="G5" s="68">
        <f t="shared" si="0"/>
        <v>7.817557793177432E-2</v>
      </c>
      <c r="H5" s="68">
        <f t="shared" si="0"/>
        <v>5.2015838407382553E-2</v>
      </c>
      <c r="I5" s="43"/>
      <c r="J5" s="43"/>
      <c r="K5" s="43"/>
    </row>
    <row r="6" spans="1:11" x14ac:dyDescent="0.3">
      <c r="A6" s="32" t="s">
        <v>7</v>
      </c>
      <c r="B6" s="47">
        <f>('Data Sheet'!E21+'Data Sheet'!E22+'Data Sheet'!E23+'Data Sheet'!E24-'Data Sheet'!E19)</f>
        <v>565587.42000000004</v>
      </c>
      <c r="C6" s="47">
        <f>('Data Sheet'!F21+'Data Sheet'!F22+'Data Sheet'!F23+'Data Sheet'!F24-'Data Sheet'!F19)</f>
        <v>634989.32000000007</v>
      </c>
      <c r="D6" s="47">
        <f>('Data Sheet'!G21+'Data Sheet'!G22+'Data Sheet'!G23+'Data Sheet'!G24-'Data Sheet'!G19)</f>
        <v>691165.84</v>
      </c>
      <c r="E6" s="47">
        <f>('Data Sheet'!H21+'Data Sheet'!H22+'Data Sheet'!H23+'Data Sheet'!H24-'Data Sheet'!H19)</f>
        <v>720279.99000000011</v>
      </c>
      <c r="F6" s="47">
        <f>('Data Sheet'!I21+'Data Sheet'!I22+'Data Sheet'!I23+'Data Sheet'!I24-'Data Sheet'!I19)</f>
        <v>750420.45</v>
      </c>
      <c r="G6" s="47">
        <f>('Data Sheet'!J21+'Data Sheet'!J22+'Data Sheet'!J23+'Data Sheet'!J24-'Data Sheet'!J19)</f>
        <v>813187.67</v>
      </c>
      <c r="H6" s="47">
        <f>('Data Sheet'!K21+'Data Sheet'!K22+'Data Sheet'!K23+'Data Sheet'!K24-'Data Sheet'!K19)</f>
        <v>837270.25</v>
      </c>
    </row>
    <row r="7" spans="1:11" x14ac:dyDescent="0.3">
      <c r="A7" s="33" t="s">
        <v>100</v>
      </c>
      <c r="B7" s="48">
        <v>0</v>
      </c>
      <c r="C7" s="48">
        <v>0</v>
      </c>
      <c r="D7" s="48">
        <v>0</v>
      </c>
      <c r="E7" s="48">
        <v>0</v>
      </c>
      <c r="F7" s="48">
        <v>0</v>
      </c>
      <c r="G7" s="48">
        <v>0</v>
      </c>
      <c r="H7" s="48">
        <v>0</v>
      </c>
    </row>
    <row r="8" spans="1:11" x14ac:dyDescent="0.3">
      <c r="A8" s="33" t="s">
        <v>73</v>
      </c>
      <c r="B8" s="49">
        <v>0</v>
      </c>
      <c r="C8" s="49">
        <v>0</v>
      </c>
      <c r="D8" s="49">
        <v>0</v>
      </c>
      <c r="E8" s="49">
        <v>0</v>
      </c>
      <c r="F8" s="49">
        <v>0</v>
      </c>
      <c r="G8" s="49">
        <v>0</v>
      </c>
      <c r="H8" s="49">
        <v>0</v>
      </c>
    </row>
    <row r="9" spans="1:11" x14ac:dyDescent="0.3">
      <c r="A9" s="33" t="s">
        <v>74</v>
      </c>
      <c r="B9" s="49">
        <f>('Data Sheet'!E21/'Data Sheet'!E17)</f>
        <v>0.91315072239068873</v>
      </c>
      <c r="C9" s="49">
        <f>('Data Sheet'!F21/'Data Sheet'!F17)</f>
        <v>0.91606735904093406</v>
      </c>
      <c r="D9" s="49">
        <f>('Data Sheet'!G21/'Data Sheet'!G17)</f>
        <v>0.91856618357169084</v>
      </c>
      <c r="E9" s="49">
        <f>('Data Sheet'!H21/'Data Sheet'!H17)</f>
        <v>0.95484856827322495</v>
      </c>
      <c r="F9" s="49">
        <f>('Data Sheet'!I21/'Data Sheet'!I17)</f>
        <v>0.91307799310921556</v>
      </c>
      <c r="G9" s="49">
        <f>('Data Sheet'!J21/'Data Sheet'!J17)</f>
        <v>0.90456502425740637</v>
      </c>
      <c r="H9" s="49">
        <f>('Data Sheet'!K21/'Data Sheet'!K17)</f>
        <v>0</v>
      </c>
    </row>
    <row r="10" spans="1:11" x14ac:dyDescent="0.3">
      <c r="A10" s="33" t="s">
        <v>75</v>
      </c>
      <c r="B10" s="48">
        <f>('Data Sheet'!E22/'Data Sheet'!E17)</f>
        <v>3.4828108768816361E-2</v>
      </c>
      <c r="C10" s="48">
        <f>('Data Sheet'!F22/'Data Sheet'!F17)</f>
        <v>4.0009853468742154E-2</v>
      </c>
      <c r="D10" s="48">
        <f>('Data Sheet'!G22/'Data Sheet'!G17)</f>
        <v>3.8770956430268594E-2</v>
      </c>
      <c r="E10" s="48">
        <f>('Data Sheet'!H22/'Data Sheet'!H17)</f>
        <v>4.193810974197032E-2</v>
      </c>
      <c r="F10" s="48">
        <f>('Data Sheet'!I22/'Data Sheet'!I17)</f>
        <v>5.1151485676040095E-2</v>
      </c>
      <c r="G10" s="48">
        <f>('Data Sheet'!J22/'Data Sheet'!J17)</f>
        <v>4.6839639736506317E-2</v>
      </c>
      <c r="H10" s="48">
        <f>('Data Sheet'!K22/'Data Sheet'!K17)</f>
        <v>3.0278188472011674E-2</v>
      </c>
    </row>
    <row r="11" spans="1:11" x14ac:dyDescent="0.3">
      <c r="A11" s="33" t="s">
        <v>101</v>
      </c>
      <c r="B11" s="48">
        <f>('Data Sheet'!E23/'Data Sheet'!E17)</f>
        <v>1.388264225629629E-2</v>
      </c>
      <c r="C11" s="48">
        <f>('Data Sheet'!F23/'Data Sheet'!F17)</f>
        <v>1.3895757007257417E-2</v>
      </c>
      <c r="D11" s="48">
        <f>('Data Sheet'!G23/'Data Sheet'!G17)</f>
        <v>3.0587924401513283E-2</v>
      </c>
      <c r="E11" s="48">
        <f>('Data Sheet'!H23/'Data Sheet'!H17)</f>
        <v>1.1105790691786275E-2</v>
      </c>
      <c r="F11" s="48">
        <f>('Data Sheet'!I23/'Data Sheet'!I17)</f>
        <v>9.5798943613572621E-3</v>
      </c>
      <c r="G11" s="48">
        <f>('Data Sheet'!J23/'Data Sheet'!J17)</f>
        <v>9.7362617381586917E-3</v>
      </c>
      <c r="H11" s="48">
        <f>('Data Sheet'!K23/'Data Sheet'!K17)</f>
        <v>2.5095227365074614E-4</v>
      </c>
    </row>
    <row r="12" spans="1:11" x14ac:dyDescent="0.3">
      <c r="A12" s="30" t="s">
        <v>8</v>
      </c>
      <c r="B12" s="45">
        <f>(B4-B6)</f>
        <v>5920.5</v>
      </c>
      <c r="C12" s="45">
        <f t="shared" ref="C12:H12" si="1">(C4-C6)</f>
        <v>-6946.5300000000279</v>
      </c>
      <c r="D12" s="45">
        <f t="shared" si="1"/>
        <v>-252.01000000000931</v>
      </c>
      <c r="E12" s="45">
        <f t="shared" si="1"/>
        <v>3326.2999999999302</v>
      </c>
      <c r="F12" s="45">
        <f t="shared" si="1"/>
        <v>34207.20000000007</v>
      </c>
      <c r="G12" s="45">
        <f t="shared" si="1"/>
        <v>32778.699999999953</v>
      </c>
      <c r="H12" s="45">
        <f t="shared" si="1"/>
        <v>52699.770000000019</v>
      </c>
      <c r="I12" s="43"/>
      <c r="J12" s="43"/>
      <c r="K12" s="43"/>
    </row>
    <row r="13" spans="1:11" x14ac:dyDescent="0.3">
      <c r="A13" s="34" t="s">
        <v>102</v>
      </c>
      <c r="B13" s="50">
        <f>B12/B4</f>
        <v>1.0359436488649185E-2</v>
      </c>
      <c r="C13" s="50">
        <f t="shared" ref="C13:H13" si="2">C12/C4</f>
        <v>-1.1060599867725618E-2</v>
      </c>
      <c r="D13" s="50">
        <f t="shared" si="2"/>
        <v>-3.647488139005834E-4</v>
      </c>
      <c r="E13" s="50">
        <f t="shared" si="2"/>
        <v>4.596836768790291E-3</v>
      </c>
      <c r="F13" s="50">
        <f t="shared" si="2"/>
        <v>4.3596730245231696E-2</v>
      </c>
      <c r="G13" s="50">
        <f t="shared" si="2"/>
        <v>3.8747048538111457E-2</v>
      </c>
      <c r="H13" s="50">
        <f t="shared" si="2"/>
        <v>5.9215219407053751E-2</v>
      </c>
      <c r="I13" s="43"/>
      <c r="J13" s="43"/>
      <c r="K13" s="43"/>
    </row>
    <row r="14" spans="1:11" x14ac:dyDescent="0.3">
      <c r="A14" s="32" t="s">
        <v>9</v>
      </c>
      <c r="B14" s="47">
        <f>'Data Sheet'!E25</f>
        <v>2615.04</v>
      </c>
      <c r="C14" s="47">
        <f>'Data Sheet'!F25</f>
        <v>20869.96</v>
      </c>
      <c r="D14" s="47">
        <f>'Data Sheet'!G25</f>
        <v>12819.51</v>
      </c>
      <c r="E14" s="47">
        <f>'Data Sheet'!H25</f>
        <v>9247.76</v>
      </c>
      <c r="F14" s="47">
        <f>'Data Sheet'!I25</f>
        <v>7799.5</v>
      </c>
      <c r="G14" s="47">
        <f>'Data Sheet'!J25</f>
        <v>14828.66</v>
      </c>
      <c r="H14" s="47">
        <f>'Data Sheet'!K25</f>
        <v>3567.21</v>
      </c>
    </row>
    <row r="15" spans="1:11" x14ac:dyDescent="0.3">
      <c r="A15" s="35" t="s">
        <v>103</v>
      </c>
      <c r="B15" s="51">
        <f>B14/B4</f>
        <v>4.5756846204336064E-3</v>
      </c>
      <c r="C15" s="51">
        <f t="shared" ref="C15:H15" si="3">C14/C4</f>
        <v>3.3230156180918818E-2</v>
      </c>
      <c r="D15" s="51">
        <f t="shared" si="3"/>
        <v>1.8554426678649639E-2</v>
      </c>
      <c r="E15" s="51">
        <f t="shared" si="3"/>
        <v>1.278009896790698E-2</v>
      </c>
      <c r="F15" s="51">
        <f t="shared" si="3"/>
        <v>9.9403838240979658E-3</v>
      </c>
      <c r="G15" s="51">
        <f t="shared" si="3"/>
        <v>1.7528663698534494E-2</v>
      </c>
      <c r="H15" s="51">
        <f t="shared" si="3"/>
        <v>4.008236142606242E-3</v>
      </c>
    </row>
    <row r="16" spans="1:11" x14ac:dyDescent="0.3">
      <c r="A16" s="32" t="s">
        <v>10</v>
      </c>
      <c r="B16" s="47">
        <f>('Data Sheet'!E26)</f>
        <v>336.41</v>
      </c>
      <c r="C16" s="47">
        <f>('Data Sheet'!F26)</f>
        <v>379.36</v>
      </c>
      <c r="D16" s="47">
        <f>('Data Sheet'!G26)</f>
        <v>416.63</v>
      </c>
      <c r="E16" s="47">
        <f>('Data Sheet'!H26)</f>
        <v>436.19</v>
      </c>
      <c r="F16" s="47">
        <f>('Data Sheet'!I26)</f>
        <v>466.38</v>
      </c>
      <c r="G16" s="47">
        <f>('Data Sheet'!J26)</f>
        <v>465.94</v>
      </c>
      <c r="H16" s="47">
        <v>0</v>
      </c>
    </row>
    <row r="17" spans="1:11" x14ac:dyDescent="0.3">
      <c r="A17" s="32" t="s">
        <v>11</v>
      </c>
      <c r="B17" s="52">
        <v>0</v>
      </c>
      <c r="C17" s="52">
        <v>0</v>
      </c>
      <c r="D17" s="52">
        <v>0</v>
      </c>
      <c r="E17" s="52">
        <v>0</v>
      </c>
      <c r="F17" s="52">
        <f>('Data Sheet'!I27)</f>
        <v>77.430000000000007</v>
      </c>
      <c r="G17" s="52">
        <f>('Data Sheet'!J27)</f>
        <v>127.88</v>
      </c>
      <c r="H17" s="52">
        <v>0</v>
      </c>
    </row>
    <row r="18" spans="1:11" x14ac:dyDescent="0.3">
      <c r="A18" s="36" t="s">
        <v>104</v>
      </c>
      <c r="B18" s="53">
        <v>0</v>
      </c>
      <c r="C18" s="53">
        <v>0</v>
      </c>
      <c r="D18" s="53">
        <v>0</v>
      </c>
      <c r="E18" s="53">
        <v>0</v>
      </c>
      <c r="F18" s="53">
        <f>(F17+F19)/F17</f>
        <v>536.48869947048945</v>
      </c>
      <c r="G18" s="53">
        <f>(G17+G19)/G17</f>
        <v>368.63794182045666</v>
      </c>
      <c r="H18" s="53">
        <v>0</v>
      </c>
    </row>
    <row r="19" spans="1:11" x14ac:dyDescent="0.3">
      <c r="A19" s="32" t="s">
        <v>105</v>
      </c>
      <c r="B19" s="47">
        <f>'Data Sheet'!E28</f>
        <v>8199.1299999999992</v>
      </c>
      <c r="C19" s="47">
        <f>'Data Sheet'!F28</f>
        <v>13544.07</v>
      </c>
      <c r="D19" s="47">
        <f>'Data Sheet'!G28</f>
        <v>12150.87</v>
      </c>
      <c r="E19" s="47">
        <f>'Data Sheet'!H28</f>
        <v>12137.87</v>
      </c>
      <c r="F19" s="47">
        <f>'Data Sheet'!I28</f>
        <v>41462.89</v>
      </c>
      <c r="G19" s="47">
        <f>'Data Sheet'!J28</f>
        <v>47013.54</v>
      </c>
      <c r="H19" s="47">
        <f>'Data Sheet'!K28</f>
        <v>56266.98</v>
      </c>
      <c r="I19" s="43"/>
      <c r="J19" s="54">
        <v>0.3587177416934213</v>
      </c>
      <c r="K19" s="54">
        <v>0.31673377688378945</v>
      </c>
    </row>
    <row r="20" spans="1:11" x14ac:dyDescent="0.3">
      <c r="A20" s="37" t="s">
        <v>99</v>
      </c>
      <c r="B20" s="55">
        <v>0</v>
      </c>
      <c r="C20" s="55">
        <f>(C19/B19)-1</f>
        <v>0.65189111527686494</v>
      </c>
      <c r="D20" s="55">
        <f t="shared" ref="D20:H20" si="4">(D19/C19)-1</f>
        <v>-0.1028642055157718</v>
      </c>
      <c r="E20" s="55">
        <f t="shared" si="4"/>
        <v>-1.0698822388849338E-3</v>
      </c>
      <c r="F20" s="55">
        <f t="shared" si="4"/>
        <v>2.4159939099693766</v>
      </c>
      <c r="G20" s="55">
        <f t="shared" si="4"/>
        <v>0.13387031150023554</v>
      </c>
      <c r="H20" s="55">
        <f t="shared" si="4"/>
        <v>0.19682499977666024</v>
      </c>
      <c r="I20" s="43"/>
      <c r="J20" s="43"/>
      <c r="K20" s="43"/>
    </row>
    <row r="21" spans="1:11" x14ac:dyDescent="0.3">
      <c r="A21" s="38" t="s">
        <v>106</v>
      </c>
      <c r="B21" s="56">
        <f>B19/B4</f>
        <v>1.4346485347044706E-2</v>
      </c>
      <c r="C21" s="56">
        <f t="shared" ref="C21:H21" si="5">C19/C4</f>
        <v>2.15655210371892E-2</v>
      </c>
      <c r="D21" s="56">
        <f t="shared" si="5"/>
        <v>1.7586664895678818E-2</v>
      </c>
      <c r="E21" s="56">
        <f t="shared" si="5"/>
        <v>1.6774135559269394E-2</v>
      </c>
      <c r="F21" s="56">
        <f t="shared" si="5"/>
        <v>5.2844033727335503E-2</v>
      </c>
      <c r="G21" s="56">
        <f t="shared" si="5"/>
        <v>5.5573769439558218E-2</v>
      </c>
      <c r="H21" s="56">
        <f t="shared" si="5"/>
        <v>6.3223455549659982E-2</v>
      </c>
    </row>
    <row r="22" spans="1:11" x14ac:dyDescent="0.3">
      <c r="A22" s="32" t="s">
        <v>13</v>
      </c>
      <c r="B22" s="47">
        <f>'Data Sheet'!E29</f>
        <v>5571.76</v>
      </c>
      <c r="C22" s="47">
        <f>'Data Sheet'!F29</f>
        <v>10833.6</v>
      </c>
      <c r="D22" s="47">
        <f>'Data Sheet'!G29</f>
        <v>9176.73</v>
      </c>
      <c r="E22" s="47">
        <f>'Data Sheet'!H29</f>
        <v>8013.17</v>
      </c>
      <c r="F22" s="47">
        <f>'Data Sheet'!I29</f>
        <v>5466.25</v>
      </c>
      <c r="G22" s="47">
        <f>'Data Sheet'!J29</f>
        <v>6097.69</v>
      </c>
      <c r="H22" s="47">
        <f>'Data Sheet'!K29</f>
        <v>7946.65</v>
      </c>
    </row>
    <row r="23" spans="1:11" x14ac:dyDescent="0.3">
      <c r="A23" s="30" t="s">
        <v>14</v>
      </c>
      <c r="B23" s="45">
        <f>'Data Sheet'!E30</f>
        <v>2627.38</v>
      </c>
      <c r="C23" s="45">
        <f>'Data Sheet'!F30</f>
        <v>2710.48</v>
      </c>
      <c r="D23" s="45">
        <f>'Data Sheet'!G30</f>
        <v>2974.14</v>
      </c>
      <c r="E23" s="45">
        <f>'Data Sheet'!H30</f>
        <v>4124.71</v>
      </c>
      <c r="F23" s="45">
        <f>'Data Sheet'!I30</f>
        <v>35996.65</v>
      </c>
      <c r="G23" s="45">
        <f>'Data Sheet'!J30</f>
        <v>40915.85</v>
      </c>
      <c r="H23" s="45">
        <f>'Data Sheet'!K30</f>
        <v>48320.33</v>
      </c>
      <c r="I23" s="43"/>
      <c r="J23" s="57">
        <v>0.74644010836278385</v>
      </c>
      <c r="K23" s="43"/>
    </row>
    <row r="24" spans="1:11" x14ac:dyDescent="0.3">
      <c r="A24" s="31" t="s">
        <v>99</v>
      </c>
      <c r="B24" s="46">
        <v>0</v>
      </c>
      <c r="C24" s="46">
        <f>(C23/B23)-1</f>
        <v>3.1628466380957398E-2</v>
      </c>
      <c r="D24" s="46">
        <f t="shared" ref="D24:H24" si="6">(D23/C23)-1</f>
        <v>9.7274283521737726E-2</v>
      </c>
      <c r="E24" s="46">
        <f t="shared" si="6"/>
        <v>0.38685804972193649</v>
      </c>
      <c r="F24" s="46">
        <f t="shared" si="6"/>
        <v>7.7270741458187366</v>
      </c>
      <c r="G24" s="46">
        <f t="shared" si="6"/>
        <v>0.13665716115249604</v>
      </c>
      <c r="H24" s="46">
        <f t="shared" si="6"/>
        <v>0.18096849998228071</v>
      </c>
      <c r="I24" s="43"/>
      <c r="J24" s="43"/>
      <c r="K24" s="43"/>
    </row>
    <row r="25" spans="1:11" x14ac:dyDescent="0.3">
      <c r="A25" s="39" t="s">
        <v>107</v>
      </c>
      <c r="B25" s="58">
        <v>4.5972591245979598E-3</v>
      </c>
      <c r="C25" s="58">
        <f>(C23/B23)-1</f>
        <v>3.1628466380957398E-2</v>
      </c>
      <c r="D25" s="58">
        <v>4.3046467893108932E-3</v>
      </c>
      <c r="E25" s="58"/>
      <c r="F25" s="58">
        <f>F23/F4</f>
        <v>4.5877366162153474E-2</v>
      </c>
      <c r="G25" s="58">
        <f t="shared" ref="G25:H25" si="7">G23/G4</f>
        <v>4.836581151565162E-2</v>
      </c>
      <c r="H25" s="58">
        <f t="shared" si="7"/>
        <v>5.4294334543988347E-2</v>
      </c>
      <c r="I25" s="43"/>
    </row>
    <row r="26" spans="1:11" x14ac:dyDescent="0.3">
      <c r="A26" s="32" t="s">
        <v>48</v>
      </c>
      <c r="B26" s="52">
        <f>(B23/'Data Sheet'!E93)</f>
        <v>4.1539619841831783</v>
      </c>
      <c r="C26" s="52">
        <f>(C23/'Data Sheet'!F93)</f>
        <v>4.2853454311476913</v>
      </c>
      <c r="D26" s="52">
        <f>(D23/'Data Sheet'!G93)</f>
        <v>4.7021993376057356</v>
      </c>
      <c r="E26" s="52">
        <f>(E23/'Data Sheet'!H93)</f>
        <v>6.5212806324110675</v>
      </c>
      <c r="F26" s="52">
        <f>(F23/'Data Sheet'!I93)</f>
        <v>56.911699604743085</v>
      </c>
      <c r="G26" s="52">
        <f>(G23/'Data Sheet'!J93)</f>
        <v>64.689090909090908</v>
      </c>
      <c r="H26" s="52">
        <f>(H23/'Data Sheet'!K93)</f>
        <v>76.395778656126481</v>
      </c>
      <c r="I26" s="54">
        <v>0.10311970460378594</v>
      </c>
      <c r="J26" s="54">
        <v>0.51585742976259419</v>
      </c>
    </row>
    <row r="27" spans="1:11" x14ac:dyDescent="0.3">
      <c r="A27" s="34" t="s">
        <v>99</v>
      </c>
      <c r="B27" s="59">
        <v>0</v>
      </c>
      <c r="C27" s="59">
        <f>(C26/B26)-1</f>
        <v>3.1628466380957398E-2</v>
      </c>
      <c r="D27" s="59">
        <f t="shared" ref="D27:H27" si="8">(D26/C26)-1</f>
        <v>9.7274283521737726E-2</v>
      </c>
      <c r="E27" s="59">
        <f t="shared" si="8"/>
        <v>0.38685754562918451</v>
      </c>
      <c r="F27" s="59">
        <f t="shared" si="8"/>
        <v>7.7270741458187366</v>
      </c>
      <c r="G27" s="59">
        <f t="shared" si="8"/>
        <v>0.13665716115249604</v>
      </c>
      <c r="H27" s="59">
        <f t="shared" si="8"/>
        <v>0.18096849998228071</v>
      </c>
      <c r="I27" s="43"/>
      <c r="J27" s="43"/>
      <c r="K27" s="43"/>
    </row>
    <row r="28" spans="1:11" x14ac:dyDescent="0.3">
      <c r="A28" s="40" t="s">
        <v>108</v>
      </c>
      <c r="B28" s="60">
        <v>0</v>
      </c>
      <c r="C28" s="60">
        <v>0</v>
      </c>
      <c r="D28" s="60">
        <v>0</v>
      </c>
      <c r="E28" s="60">
        <v>0</v>
      </c>
      <c r="F28" s="60">
        <f>F29/F26</f>
        <v>9.3891063473962166</v>
      </c>
      <c r="G28" s="60">
        <f t="shared" ref="G28:H28" si="9">G29/G26</f>
        <v>14.162357008347621</v>
      </c>
      <c r="H28" s="60">
        <f t="shared" si="9"/>
        <v>10.463928950816355</v>
      </c>
      <c r="I28" s="43"/>
    </row>
    <row r="29" spans="1:11" x14ac:dyDescent="0.3">
      <c r="A29" s="30" t="s">
        <v>49</v>
      </c>
      <c r="B29" s="45">
        <v>0</v>
      </c>
      <c r="C29" s="45">
        <v>0</v>
      </c>
      <c r="D29" s="45">
        <v>0</v>
      </c>
      <c r="E29" s="45">
        <v>0</v>
      </c>
      <c r="F29" s="45">
        <f>'Data Sheet'!I90</f>
        <v>534.35</v>
      </c>
      <c r="G29" s="45">
        <f>'Data Sheet'!J90</f>
        <v>916.15</v>
      </c>
      <c r="H29" s="45">
        <f>'Data Sheet'!K90</f>
        <v>799.4</v>
      </c>
      <c r="I29" s="43"/>
      <c r="J29" s="43"/>
      <c r="K29" s="43"/>
    </row>
    <row r="30" spans="1:11" x14ac:dyDescent="0.3">
      <c r="A30" s="30" t="s">
        <v>109</v>
      </c>
      <c r="B30" s="61">
        <f>'Data Sheet'!E31</f>
        <v>42</v>
      </c>
      <c r="C30" s="61">
        <f>'Data Sheet'!F31</f>
        <v>42.7</v>
      </c>
      <c r="D30" s="61">
        <f>'Data Sheet'!G31</f>
        <v>0</v>
      </c>
      <c r="E30" s="61">
        <f>'Data Sheet'!H31</f>
        <v>948.75</v>
      </c>
      <c r="F30" s="61">
        <f>'Data Sheet'!I31</f>
        <v>1897.5</v>
      </c>
      <c r="G30" s="61">
        <f>'Data Sheet'!J31</f>
        <v>6325</v>
      </c>
      <c r="H30" s="61">
        <f>'Data Sheet'!K31</f>
        <v>7590</v>
      </c>
      <c r="I30" s="43"/>
      <c r="J30" s="43"/>
      <c r="K30" s="43"/>
    </row>
    <row r="31" spans="1:11" x14ac:dyDescent="0.3">
      <c r="A31" s="32" t="s">
        <v>17</v>
      </c>
      <c r="B31" s="62">
        <f>B30/B23</f>
        <v>1.5985506474130121E-2</v>
      </c>
      <c r="C31" s="62">
        <f t="shared" ref="C31:H31" si="10">C30/C23</f>
        <v>1.5753667247129659E-2</v>
      </c>
      <c r="D31" s="62">
        <f t="shared" si="10"/>
        <v>0</v>
      </c>
      <c r="E31" s="62">
        <f t="shared" si="10"/>
        <v>0.2300161708338283</v>
      </c>
      <c r="F31" s="62">
        <f t="shared" si="10"/>
        <v>5.2713238593035741E-2</v>
      </c>
      <c r="G31" s="62">
        <f t="shared" si="10"/>
        <v>0.15458557013968915</v>
      </c>
      <c r="H31" s="62">
        <f t="shared" si="10"/>
        <v>0.15707674181860926</v>
      </c>
    </row>
    <row r="32" spans="1:11" x14ac:dyDescent="0.3">
      <c r="A32" s="32" t="s">
        <v>110</v>
      </c>
      <c r="B32" s="47">
        <v>0</v>
      </c>
      <c r="C32" s="47">
        <v>0</v>
      </c>
      <c r="D32" s="47">
        <v>0</v>
      </c>
      <c r="E32" s="47">
        <v>0</v>
      </c>
      <c r="F32" s="47">
        <f>F29*'Data Sheet'!I93</f>
        <v>337976.375</v>
      </c>
      <c r="G32" s="47">
        <f>G29*'Data Sheet'!J93</f>
        <v>579464.875</v>
      </c>
      <c r="H32" s="47">
        <f>H29*'Data Sheet'!K93</f>
        <v>505620.5</v>
      </c>
      <c r="I32" s="42" t="s">
        <v>114</v>
      </c>
      <c r="J32" s="69">
        <f>H32-F32</f>
        <v>167644.125</v>
      </c>
    </row>
    <row r="33" spans="1:11" x14ac:dyDescent="0.3">
      <c r="A33" s="32" t="s">
        <v>111</v>
      </c>
      <c r="B33" s="52">
        <f>B23-B30</f>
        <v>2585.38</v>
      </c>
      <c r="C33" s="52">
        <f t="shared" ref="C33:H33" si="11">C23-C30</f>
        <v>2667.78</v>
      </c>
      <c r="D33" s="52">
        <f t="shared" si="11"/>
        <v>2974.14</v>
      </c>
      <c r="E33" s="52">
        <f t="shared" si="11"/>
        <v>3175.96</v>
      </c>
      <c r="F33" s="52">
        <f t="shared" si="11"/>
        <v>34099.15</v>
      </c>
      <c r="G33" s="52">
        <f t="shared" si="11"/>
        <v>34590.85</v>
      </c>
      <c r="H33" s="52">
        <f t="shared" si="11"/>
        <v>40730.33</v>
      </c>
      <c r="I33" s="42" t="s">
        <v>115</v>
      </c>
      <c r="J33" s="66">
        <f>(F33+G33+H33)</f>
        <v>109420.33</v>
      </c>
    </row>
    <row r="34" spans="1:11" ht="15" thickBot="1" x14ac:dyDescent="0.35">
      <c r="A34" s="41" t="s">
        <v>112</v>
      </c>
      <c r="B34" s="63">
        <f>J32/J33</f>
        <v>1.5321113087485663</v>
      </c>
      <c r="C34" s="63"/>
      <c r="D34" s="63"/>
      <c r="E34" s="63"/>
      <c r="F34" s="63"/>
      <c r="G34" s="63"/>
      <c r="H34" s="63"/>
      <c r="J34" s="42">
        <f>J32/J33</f>
        <v>1.5321113087485663</v>
      </c>
    </row>
    <row r="35" spans="1:11" x14ac:dyDescent="0.3">
      <c r="B35" s="64"/>
      <c r="C35" s="64"/>
      <c r="D35" s="64"/>
      <c r="E35" s="64"/>
      <c r="F35" s="64"/>
      <c r="G35" s="64"/>
      <c r="H35" s="64"/>
    </row>
    <row r="36" spans="1:11" x14ac:dyDescent="0.3">
      <c r="B36" s="65"/>
      <c r="C36" s="66"/>
      <c r="D36" s="67"/>
      <c r="E36" s="67"/>
      <c r="F36" s="67"/>
      <c r="G36" s="67"/>
      <c r="H36" s="67"/>
      <c r="I36" s="67"/>
      <c r="J36" s="67"/>
      <c r="K36" s="67"/>
    </row>
    <row r="37" spans="1:11" x14ac:dyDescent="0.3">
      <c r="A37" s="43"/>
      <c r="B37" s="43"/>
      <c r="C37" s="43"/>
      <c r="D37" s="43"/>
      <c r="E37" s="43"/>
      <c r="F37" s="43"/>
      <c r="G37" s="43"/>
      <c r="H37" s="43"/>
      <c r="I37" s="43"/>
      <c r="J37" s="43"/>
      <c r="K37" s="43"/>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BB424-9DCC-4B81-8B0A-47FBE2161403}">
  <sheetPr>
    <tabColor rgb="FFFFC000"/>
  </sheetPr>
  <dimension ref="A1:K29"/>
  <sheetViews>
    <sheetView zoomScale="88" workbookViewId="0">
      <pane xSplit="1" topLeftCell="B1" activePane="topRight" state="frozen"/>
      <selection pane="topRight" activeCell="A3" sqref="A3"/>
    </sheetView>
  </sheetViews>
  <sheetFormatPr defaultRowHeight="14.4" x14ac:dyDescent="0.3"/>
  <cols>
    <col min="1" max="1" width="40" customWidth="1"/>
  </cols>
  <sheetData>
    <row r="1" spans="1:11" x14ac:dyDescent="0.3">
      <c r="A1" s="75" t="s">
        <v>348</v>
      </c>
      <c r="B1" s="75" t="s">
        <v>164</v>
      </c>
      <c r="C1" s="75" t="s">
        <v>163</v>
      </c>
      <c r="D1" s="75" t="s">
        <v>162</v>
      </c>
      <c r="E1" s="75" t="s">
        <v>161</v>
      </c>
      <c r="F1" s="75" t="s">
        <v>160</v>
      </c>
      <c r="G1" s="75" t="s">
        <v>159</v>
      </c>
      <c r="H1" s="75" t="s">
        <v>158</v>
      </c>
      <c r="I1" s="75" t="s">
        <v>157</v>
      </c>
      <c r="J1" s="75" t="s">
        <v>156</v>
      </c>
      <c r="K1" s="75" t="s">
        <v>155</v>
      </c>
    </row>
    <row r="2" spans="1:11" x14ac:dyDescent="0.3">
      <c r="A2" s="70" t="s">
        <v>32</v>
      </c>
      <c r="B2" s="71"/>
      <c r="C2" s="71"/>
      <c r="D2" s="71"/>
      <c r="E2" s="71">
        <v>13273.814</v>
      </c>
      <c r="F2" s="71">
        <v>54366.920999999988</v>
      </c>
      <c r="G2" s="71">
        <v>80602.038199999995</v>
      </c>
      <c r="H2" s="71">
        <v>-3782.5358000000001</v>
      </c>
      <c r="I2" s="71">
        <v>54518.51</v>
      </c>
      <c r="J2" s="71">
        <v>26121.65</v>
      </c>
      <c r="K2" s="71">
        <v>-9144.77</v>
      </c>
    </row>
    <row r="3" spans="1:11" x14ac:dyDescent="0.3">
      <c r="A3" s="73" t="s">
        <v>154</v>
      </c>
      <c r="B3" s="71"/>
      <c r="C3" s="71"/>
      <c r="D3" s="71"/>
      <c r="E3" s="71"/>
      <c r="F3" s="71"/>
      <c r="G3" s="71"/>
      <c r="H3" s="71"/>
      <c r="I3" s="71"/>
      <c r="J3" s="71"/>
      <c r="K3" s="71">
        <v>492388.43</v>
      </c>
    </row>
    <row r="4" spans="1:11" x14ac:dyDescent="0.3">
      <c r="A4" s="73" t="s">
        <v>153</v>
      </c>
      <c r="B4" s="71"/>
      <c r="C4" s="71"/>
      <c r="D4" s="71"/>
      <c r="E4" s="71">
        <v>36110.555</v>
      </c>
      <c r="F4" s="71">
        <v>70168.491999999998</v>
      </c>
      <c r="G4" s="71">
        <v>53303.260599999987</v>
      </c>
      <c r="H4" s="71">
        <v>5611.8037999999997</v>
      </c>
      <c r="I4" s="71">
        <v>50964.87</v>
      </c>
      <c r="J4" s="71">
        <v>23189.66</v>
      </c>
      <c r="K4" s="71">
        <v>-501533.2</v>
      </c>
    </row>
    <row r="5" spans="1:11" x14ac:dyDescent="0.3">
      <c r="A5" s="73" t="s">
        <v>152</v>
      </c>
      <c r="B5" s="71"/>
      <c r="C5" s="71"/>
      <c r="D5" s="71"/>
      <c r="E5" s="71">
        <v>36110.555000000008</v>
      </c>
      <c r="F5" s="71">
        <v>70168.491999999998</v>
      </c>
      <c r="G5" s="71">
        <v>53303.260599999987</v>
      </c>
      <c r="H5" s="71">
        <v>5611.8037999999997</v>
      </c>
      <c r="I5" s="71">
        <v>50964.87</v>
      </c>
      <c r="J5" s="71">
        <v>23189.66</v>
      </c>
      <c r="K5" s="71">
        <v>-9144.77</v>
      </c>
    </row>
    <row r="6" spans="1:11" x14ac:dyDescent="0.3">
      <c r="A6" s="73" t="s">
        <v>151</v>
      </c>
      <c r="B6" s="71"/>
      <c r="C6" s="71"/>
      <c r="D6" s="71"/>
      <c r="E6" s="71">
        <v>-3213.3589999999999</v>
      </c>
      <c r="F6" s="71">
        <v>-3458.7190000000001</v>
      </c>
      <c r="G6" s="71">
        <v>18536.061099999999</v>
      </c>
      <c r="H6" s="71">
        <v>713.92740000000015</v>
      </c>
      <c r="I6" s="71">
        <v>170.38</v>
      </c>
      <c r="J6" s="71">
        <v>-347.42</v>
      </c>
      <c r="K6" s="71"/>
    </row>
    <row r="7" spans="1:11" x14ac:dyDescent="0.3">
      <c r="A7" s="73" t="s">
        <v>150</v>
      </c>
      <c r="B7" s="71"/>
      <c r="C7" s="71"/>
      <c r="D7" s="71"/>
      <c r="E7" s="71">
        <v>-19623.382000000001</v>
      </c>
      <c r="F7" s="71">
        <v>-12342.852000000001</v>
      </c>
      <c r="G7" s="71">
        <v>8762.7165000000005</v>
      </c>
      <c r="H7" s="71">
        <v>-10108.267</v>
      </c>
      <c r="I7" s="71">
        <v>3383.26</v>
      </c>
      <c r="J7" s="71">
        <v>3279.41</v>
      </c>
      <c r="K7" s="71">
        <v>0</v>
      </c>
    </row>
    <row r="8" spans="1:11" x14ac:dyDescent="0.3">
      <c r="A8" s="70" t="s">
        <v>33</v>
      </c>
      <c r="B8" s="71"/>
      <c r="C8" s="71"/>
      <c r="D8" s="71"/>
      <c r="E8" s="71">
        <v>8764.5</v>
      </c>
      <c r="F8" s="71">
        <v>-41809.091999999997</v>
      </c>
      <c r="G8" s="71">
        <v>148792.31109999999</v>
      </c>
      <c r="H8" s="71">
        <v>12098.797699999999</v>
      </c>
      <c r="I8" s="71">
        <v>-54471.53</v>
      </c>
      <c r="J8" s="71">
        <v>-25400.02</v>
      </c>
      <c r="K8" s="71">
        <v>40423.43</v>
      </c>
    </row>
    <row r="9" spans="1:11" x14ac:dyDescent="0.3">
      <c r="A9" s="74" t="s">
        <v>149</v>
      </c>
      <c r="B9" s="71"/>
      <c r="C9" s="71"/>
      <c r="D9" s="71"/>
      <c r="E9" s="71">
        <v>-1992.365</v>
      </c>
      <c r="F9" s="71">
        <v>-920.33500000000004</v>
      </c>
      <c r="G9" s="71">
        <v>6162.9275000000007</v>
      </c>
      <c r="H9" s="71">
        <v>-96.653599999999983</v>
      </c>
      <c r="I9" s="71">
        <v>-542.11</v>
      </c>
      <c r="J9" s="71">
        <v>-712.72</v>
      </c>
      <c r="K9" s="71">
        <v>-714.79000000000008</v>
      </c>
    </row>
    <row r="10" spans="1:11" x14ac:dyDescent="0.3">
      <c r="A10" s="73" t="s">
        <v>148</v>
      </c>
      <c r="B10" s="71"/>
      <c r="C10" s="71"/>
      <c r="D10" s="71"/>
      <c r="E10" s="71">
        <v>-2545.8040000000001</v>
      </c>
      <c r="F10" s="71">
        <v>-1120.26</v>
      </c>
      <c r="G10" s="71">
        <v>-1076.0654999999999</v>
      </c>
      <c r="H10" s="71">
        <v>-716.93870000000004</v>
      </c>
      <c r="I10" s="71">
        <v>-886.47</v>
      </c>
      <c r="J10" s="71">
        <v>-767.77</v>
      </c>
      <c r="K10" s="71">
        <v>-776.73</v>
      </c>
    </row>
    <row r="11" spans="1:11" x14ac:dyDescent="0.3">
      <c r="A11" s="73" t="s">
        <v>147</v>
      </c>
      <c r="B11" s="71"/>
      <c r="C11" s="71"/>
      <c r="D11" s="71"/>
      <c r="E11" s="71">
        <v>553.43899999999996</v>
      </c>
      <c r="F11" s="71">
        <v>199.92500000000001</v>
      </c>
      <c r="G11" s="71">
        <v>7238.9930000000004</v>
      </c>
      <c r="H11" s="71">
        <v>620.28510000000006</v>
      </c>
      <c r="I11" s="71">
        <v>344.36</v>
      </c>
      <c r="J11" s="71">
        <v>55.05</v>
      </c>
      <c r="K11" s="71">
        <v>61.94</v>
      </c>
    </row>
    <row r="12" spans="1:11" x14ac:dyDescent="0.3">
      <c r="A12" s="73" t="s">
        <v>146</v>
      </c>
      <c r="B12" s="71"/>
      <c r="C12" s="71"/>
      <c r="D12" s="71"/>
      <c r="E12" s="71">
        <v>-316629.26199999999</v>
      </c>
      <c r="F12" s="71">
        <v>-426192.625</v>
      </c>
      <c r="G12" s="71">
        <v>-499555.44839999999</v>
      </c>
      <c r="H12" s="71">
        <v>-427781.14950000012</v>
      </c>
      <c r="I12" s="71">
        <v>-543739.38</v>
      </c>
      <c r="J12" s="71">
        <v>-576036.89</v>
      </c>
      <c r="K12" s="71">
        <v>-566852.13</v>
      </c>
    </row>
    <row r="13" spans="1:11" x14ac:dyDescent="0.3">
      <c r="A13" s="73" t="s">
        <v>145</v>
      </c>
      <c r="B13" s="71"/>
      <c r="C13" s="71"/>
      <c r="D13" s="71"/>
      <c r="E13" s="71">
        <v>133823.64499999999</v>
      </c>
      <c r="F13" s="71">
        <v>152515.80900000001</v>
      </c>
      <c r="G13" s="71">
        <v>274807.32250000001</v>
      </c>
      <c r="H13" s="71">
        <v>190388.11199999999</v>
      </c>
      <c r="I13" s="71">
        <v>224908.06</v>
      </c>
      <c r="J13" s="71">
        <v>261903.87</v>
      </c>
      <c r="K13" s="71">
        <v>307792.15000000002</v>
      </c>
    </row>
    <row r="14" spans="1:11" x14ac:dyDescent="0.3">
      <c r="A14" s="73" t="s">
        <v>144</v>
      </c>
      <c r="B14" s="71"/>
      <c r="C14" s="71"/>
      <c r="D14" s="71"/>
      <c r="E14" s="71">
        <v>199144.34400000001</v>
      </c>
      <c r="F14" s="71">
        <v>231230.58799999999</v>
      </c>
      <c r="G14" s="71">
        <v>248888.38570000001</v>
      </c>
      <c r="H14" s="71">
        <v>250559.7487</v>
      </c>
      <c r="I14" s="71">
        <v>268931.48</v>
      </c>
      <c r="J14" s="71">
        <v>293173.52</v>
      </c>
      <c r="K14" s="71">
        <v>315107.76</v>
      </c>
    </row>
    <row r="15" spans="1:11" x14ac:dyDescent="0.3">
      <c r="A15" s="73" t="s">
        <v>143</v>
      </c>
      <c r="B15" s="71"/>
      <c r="C15" s="71"/>
      <c r="D15" s="71"/>
      <c r="E15" s="71"/>
      <c r="F15" s="71"/>
      <c r="G15" s="71"/>
      <c r="H15" s="71"/>
      <c r="I15" s="71"/>
      <c r="J15" s="71"/>
      <c r="K15" s="71"/>
    </row>
    <row r="16" spans="1:11" x14ac:dyDescent="0.3">
      <c r="A16" s="73" t="s">
        <v>142</v>
      </c>
      <c r="B16" s="71"/>
      <c r="C16" s="71"/>
      <c r="D16" s="71"/>
      <c r="E16" s="71"/>
      <c r="F16" s="71"/>
      <c r="G16" s="71"/>
      <c r="H16" s="71"/>
      <c r="I16" s="71"/>
      <c r="J16" s="71"/>
      <c r="K16" s="71"/>
    </row>
    <row r="17" spans="1:11" x14ac:dyDescent="0.3">
      <c r="A17" s="70" t="s">
        <v>34</v>
      </c>
      <c r="B17" s="71"/>
      <c r="C17" s="71"/>
      <c r="D17" s="71"/>
      <c r="E17" s="71">
        <v>-13699.579</v>
      </c>
      <c r="F17" s="71">
        <v>-18663.743999999999</v>
      </c>
      <c r="G17" s="71">
        <v>-256125.4675</v>
      </c>
      <c r="H17" s="71"/>
      <c r="I17" s="71">
        <v>-948.59</v>
      </c>
      <c r="J17" s="71">
        <v>-4427.2</v>
      </c>
      <c r="K17" s="71">
        <v>-3794.28</v>
      </c>
    </row>
    <row r="18" spans="1:11" x14ac:dyDescent="0.3">
      <c r="A18" s="73" t="s">
        <v>141</v>
      </c>
      <c r="B18" s="71"/>
      <c r="C18" s="71"/>
      <c r="D18" s="71"/>
      <c r="E18" s="71"/>
      <c r="F18" s="71"/>
      <c r="G18" s="71"/>
      <c r="H18" s="71"/>
      <c r="I18" s="71"/>
      <c r="J18" s="71"/>
      <c r="K18" s="71"/>
    </row>
    <row r="19" spans="1:11" x14ac:dyDescent="0.3">
      <c r="A19" s="74" t="s">
        <v>140</v>
      </c>
      <c r="B19" s="71"/>
      <c r="C19" s="71"/>
      <c r="D19" s="71"/>
      <c r="E19" s="71">
        <v>0</v>
      </c>
      <c r="F19" s="71">
        <v>0</v>
      </c>
      <c r="G19" s="71">
        <v>0</v>
      </c>
      <c r="H19" s="71">
        <v>0</v>
      </c>
      <c r="I19" s="71">
        <v>0</v>
      </c>
      <c r="J19" s="71">
        <v>0</v>
      </c>
      <c r="K19" s="71">
        <v>0</v>
      </c>
    </row>
    <row r="20" spans="1:11" x14ac:dyDescent="0.3">
      <c r="A20" s="73" t="s">
        <v>139</v>
      </c>
      <c r="B20" s="71"/>
      <c r="C20" s="71"/>
      <c r="D20" s="71"/>
      <c r="E20" s="71"/>
      <c r="F20" s="71"/>
      <c r="G20" s="71"/>
      <c r="H20" s="71"/>
      <c r="I20" s="71"/>
      <c r="J20" s="71"/>
      <c r="K20" s="71"/>
    </row>
    <row r="21" spans="1:11" x14ac:dyDescent="0.3">
      <c r="A21" s="73" t="s">
        <v>138</v>
      </c>
      <c r="B21" s="71"/>
      <c r="C21" s="71"/>
      <c r="D21" s="71"/>
      <c r="E21" s="71"/>
      <c r="F21" s="71"/>
      <c r="G21" s="71"/>
      <c r="H21" s="71"/>
      <c r="I21" s="71"/>
      <c r="J21" s="71"/>
      <c r="K21" s="71"/>
    </row>
    <row r="22" spans="1:11" x14ac:dyDescent="0.3">
      <c r="A22" s="73" t="s">
        <v>137</v>
      </c>
      <c r="B22" s="71"/>
      <c r="C22" s="71"/>
      <c r="D22" s="71"/>
      <c r="E22" s="71"/>
      <c r="F22" s="71">
        <v>-2676.748</v>
      </c>
      <c r="G22" s="71">
        <v>-2715.5344</v>
      </c>
      <c r="H22" s="71"/>
      <c r="I22" s="71">
        <v>-948.59</v>
      </c>
      <c r="J22" s="71">
        <v>-4427.2</v>
      </c>
      <c r="K22" s="71">
        <v>-3794.28</v>
      </c>
    </row>
    <row r="23" spans="1:11" x14ac:dyDescent="0.3">
      <c r="A23" s="73" t="s">
        <v>136</v>
      </c>
      <c r="B23" s="71"/>
      <c r="C23" s="71"/>
      <c r="D23" s="71"/>
      <c r="E23" s="71"/>
      <c r="F23" s="71"/>
      <c r="G23" s="71"/>
      <c r="H23" s="71"/>
      <c r="I23" s="71"/>
      <c r="J23" s="71"/>
      <c r="K23" s="71"/>
    </row>
    <row r="24" spans="1:11" x14ac:dyDescent="0.3">
      <c r="A24" s="70" t="s">
        <v>35</v>
      </c>
      <c r="B24" s="71"/>
      <c r="C24" s="71"/>
      <c r="D24" s="71"/>
      <c r="E24" s="71">
        <v>8338.7350000000006</v>
      </c>
      <c r="F24" s="71">
        <v>-6105.915</v>
      </c>
      <c r="G24" s="71">
        <v>-26731.118200000001</v>
      </c>
      <c r="H24" s="71">
        <v>8316.2618999999995</v>
      </c>
      <c r="I24" s="71">
        <v>-901.61</v>
      </c>
      <c r="J24" s="71">
        <v>-3705.57</v>
      </c>
      <c r="K24" s="71">
        <v>27484.38</v>
      </c>
    </row>
    <row r="25" spans="1:11" x14ac:dyDescent="0.3">
      <c r="A25" s="70" t="s">
        <v>135</v>
      </c>
      <c r="B25" s="71"/>
      <c r="C25" s="71"/>
      <c r="D25" s="71"/>
      <c r="E25" s="71">
        <v>58695.453000000001</v>
      </c>
      <c r="F25" s="71">
        <v>67905.953999999998</v>
      </c>
      <c r="G25" s="71">
        <v>63194.336900000002</v>
      </c>
      <c r="H25" s="71">
        <v>36117.678500000002</v>
      </c>
      <c r="I25" s="71">
        <v>44866.05</v>
      </c>
      <c r="J25" s="71">
        <v>45588.14</v>
      </c>
      <c r="K25" s="71">
        <v>42013.83</v>
      </c>
    </row>
    <row r="26" spans="1:11" x14ac:dyDescent="0.3">
      <c r="A26" s="70" t="s">
        <v>134</v>
      </c>
      <c r="B26" s="71"/>
      <c r="C26" s="71"/>
      <c r="D26" s="71"/>
      <c r="E26" s="71">
        <v>871.76599999999996</v>
      </c>
      <c r="F26" s="71">
        <v>1394.297</v>
      </c>
      <c r="G26" s="71">
        <v>-345.54020000000003</v>
      </c>
      <c r="H26" s="71">
        <v>432.10629999999998</v>
      </c>
      <c r="I26" s="71">
        <v>1623.7</v>
      </c>
      <c r="J26" s="71">
        <v>131.26</v>
      </c>
      <c r="K26" s="71">
        <v>408.27</v>
      </c>
    </row>
    <row r="27" spans="1:11" x14ac:dyDescent="0.3">
      <c r="A27" s="70" t="s">
        <v>133</v>
      </c>
      <c r="B27" s="71"/>
      <c r="C27" s="71"/>
      <c r="D27" s="71"/>
      <c r="E27" s="71">
        <v>67905.953999999998</v>
      </c>
      <c r="F27" s="71">
        <v>63194.336000000003</v>
      </c>
      <c r="G27" s="71">
        <v>36117.678500000002</v>
      </c>
      <c r="H27" s="71">
        <v>44866.046699999999</v>
      </c>
      <c r="I27" s="71">
        <v>45588.14</v>
      </c>
      <c r="J27" s="71">
        <v>42013.83</v>
      </c>
      <c r="K27" s="71">
        <v>69906.48</v>
      </c>
    </row>
    <row r="28" spans="1:11" x14ac:dyDescent="0.3">
      <c r="A28" s="70" t="s">
        <v>116</v>
      </c>
      <c r="B28" s="71"/>
      <c r="C28" s="71"/>
      <c r="D28" s="71"/>
      <c r="E28" s="71">
        <v>1992.365</v>
      </c>
      <c r="F28" s="71">
        <v>920.33500000000004</v>
      </c>
      <c r="G28" s="71">
        <v>-6162.9275000000007</v>
      </c>
      <c r="H28" s="71">
        <v>96.653599999999983</v>
      </c>
      <c r="I28" s="71">
        <v>542.11</v>
      </c>
      <c r="J28" s="71">
        <v>712.72</v>
      </c>
      <c r="K28" s="71">
        <v>714.79000000000008</v>
      </c>
    </row>
    <row r="29" spans="1:11" x14ac:dyDescent="0.3">
      <c r="A29" s="70" t="s">
        <v>132</v>
      </c>
      <c r="B29" s="71"/>
      <c r="C29" s="71"/>
      <c r="D29" s="71"/>
      <c r="E29" s="71">
        <v>11281.449000000001</v>
      </c>
      <c r="F29" s="71">
        <v>53446.586000000003</v>
      </c>
      <c r="G29" s="71">
        <v>86764.965700000001</v>
      </c>
      <c r="H29" s="71">
        <v>-3879.1894000000002</v>
      </c>
      <c r="I29" s="71">
        <v>53976.4</v>
      </c>
      <c r="J29" s="71">
        <v>25408.93</v>
      </c>
      <c r="K29" s="71">
        <v>-9859.56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9A5C4-03C3-4CC9-BBDF-36CF246020B2}">
  <sheetPr>
    <tabColor rgb="FF00B0F0"/>
  </sheetPr>
  <dimension ref="A1:D17"/>
  <sheetViews>
    <sheetView showGridLines="0" workbookViewId="0">
      <pane xSplit="3" topLeftCell="D1" activePane="topRight" state="frozen"/>
      <selection pane="topRight" activeCell="I14" sqref="I14"/>
    </sheetView>
  </sheetViews>
  <sheetFormatPr defaultRowHeight="14.4" x14ac:dyDescent="0.3"/>
  <cols>
    <col min="2" max="2" width="15.109375" customWidth="1"/>
    <col min="3" max="3" width="13.88671875" customWidth="1"/>
    <col min="4" max="4" width="38.88671875" customWidth="1"/>
  </cols>
  <sheetData>
    <row r="1" spans="1:4" x14ac:dyDescent="0.3">
      <c r="A1" s="26" t="s">
        <v>81</v>
      </c>
      <c r="B1" s="26"/>
      <c r="C1" s="26"/>
      <c r="D1" s="26" t="s">
        <v>88</v>
      </c>
    </row>
    <row r="2" spans="1:4" x14ac:dyDescent="0.3">
      <c r="A2" s="22" t="s">
        <v>82</v>
      </c>
      <c r="B2" s="22"/>
      <c r="C2" s="22"/>
      <c r="D2" s="22" t="s">
        <v>54</v>
      </c>
    </row>
    <row r="3" spans="1:4" x14ac:dyDescent="0.3">
      <c r="A3" t="s">
        <v>83</v>
      </c>
      <c r="D3">
        <f>'Data Sheet'!B8</f>
        <v>936.55</v>
      </c>
    </row>
    <row r="4" spans="1:4" x14ac:dyDescent="0.3">
      <c r="A4" t="s">
        <v>84</v>
      </c>
      <c r="B4" s="23"/>
      <c r="D4" s="23">
        <f>('Data Sheet'!B7)</f>
        <v>10</v>
      </c>
    </row>
    <row r="5" spans="1:4" x14ac:dyDescent="0.3">
      <c r="A5" t="s">
        <v>85</v>
      </c>
      <c r="D5">
        <f>('Data Sheet'!B6)</f>
        <v>632.49977043403987</v>
      </c>
    </row>
    <row r="6" spans="1:4" x14ac:dyDescent="0.3">
      <c r="A6" t="s">
        <v>86</v>
      </c>
      <c r="D6">
        <f>('Data Sheet'!B9)</f>
        <v>592367.66</v>
      </c>
    </row>
    <row r="7" spans="1:4" x14ac:dyDescent="0.3">
      <c r="A7" t="s">
        <v>87</v>
      </c>
      <c r="B7" s="171"/>
      <c r="D7" s="171">
        <v>5.5E-2</v>
      </c>
    </row>
    <row r="8" spans="1:4" x14ac:dyDescent="0.3">
      <c r="B8" s="25"/>
      <c r="D8" s="25"/>
    </row>
    <row r="9" spans="1:4" x14ac:dyDescent="0.3">
      <c r="A9" t="s">
        <v>89</v>
      </c>
    </row>
    <row r="10" spans="1:4" x14ac:dyDescent="0.3">
      <c r="A10" s="26" t="s">
        <v>81</v>
      </c>
      <c r="B10" s="172"/>
      <c r="C10" s="26"/>
      <c r="D10" s="172"/>
    </row>
    <row r="11" spans="1:4" x14ac:dyDescent="0.3">
      <c r="A11" s="22" t="s">
        <v>90</v>
      </c>
      <c r="B11" s="22"/>
      <c r="C11" s="22"/>
      <c r="D11" s="22">
        <f>('Profit &amp; Loss'!K4/'Profit &amp; Loss'!E4)^(1/7)-1</f>
        <v>6.531739312979834E-2</v>
      </c>
    </row>
    <row r="12" spans="1:4" x14ac:dyDescent="0.3">
      <c r="A12" t="s">
        <v>91</v>
      </c>
      <c r="B12" s="25"/>
      <c r="D12" s="25">
        <f>('Data Sheet'!K28/'Data Sheet'!E28)^(1/7)-1</f>
        <v>0.31673377688378945</v>
      </c>
    </row>
    <row r="13" spans="1:4" x14ac:dyDescent="0.3">
      <c r="A13" t="s">
        <v>92</v>
      </c>
      <c r="B13" s="25"/>
      <c r="D13" s="25">
        <f>('Profit &amp; Loss'!K12/'Profit &amp; Loss'!E12)^(1/7)-1</f>
        <v>0.51585668426368492</v>
      </c>
    </row>
    <row r="14" spans="1:4" x14ac:dyDescent="0.3">
      <c r="A14" t="s">
        <v>93</v>
      </c>
      <c r="B14" s="25"/>
      <c r="D14" s="25">
        <f>AVERAGE('Balance Sheet'!G25:K25)</f>
        <v>1.3093547508636117E-4</v>
      </c>
    </row>
    <row r="15" spans="1:4" x14ac:dyDescent="0.3">
      <c r="A15" t="s">
        <v>94</v>
      </c>
      <c r="B15" s="27"/>
      <c r="D15" s="27">
        <f>AVERAGE('Balance Sheet'!G23:K23)</f>
        <v>0.48973709968321727</v>
      </c>
    </row>
    <row r="16" spans="1:4" x14ac:dyDescent="0.3">
      <c r="A16" t="s">
        <v>97</v>
      </c>
      <c r="B16" s="25"/>
      <c r="D16" s="25">
        <f>AVERAGE('Profit &amp; Loss'!I14:L14)</f>
        <v>11.56864326740137</v>
      </c>
    </row>
    <row r="17" spans="1:4" x14ac:dyDescent="0.3">
      <c r="A17" t="s">
        <v>95</v>
      </c>
      <c r="B17" s="173"/>
      <c r="D17" s="173">
        <f>D3/'Profit &amp; Loss'!L13</f>
        <v>12.259180763045284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9476D-7012-4AC7-9A9B-42344C66E695}">
  <sheetPr>
    <tabColor rgb="FFFF0000"/>
  </sheetPr>
  <dimension ref="A1:O20"/>
  <sheetViews>
    <sheetView zoomScale="92" workbookViewId="0">
      <selection activeCell="D5" sqref="D5"/>
    </sheetView>
  </sheetViews>
  <sheetFormatPr defaultRowHeight="14.4" x14ac:dyDescent="0.3"/>
  <cols>
    <col min="1" max="1" width="11.88671875" customWidth="1"/>
    <col min="2" max="2" width="18.44140625" customWidth="1"/>
    <col min="3" max="3" width="22" customWidth="1"/>
    <col min="4" max="4" width="16.33203125" customWidth="1"/>
    <col min="5" max="5" width="17" customWidth="1"/>
    <col min="10" max="10" width="16.88671875" customWidth="1"/>
    <col min="11" max="11" width="17.33203125" customWidth="1"/>
    <col min="12" max="12" width="21.6640625" customWidth="1"/>
    <col min="13" max="13" width="16.109375" customWidth="1"/>
    <col min="14" max="14" width="13" customWidth="1"/>
  </cols>
  <sheetData>
    <row r="1" spans="1:15" x14ac:dyDescent="0.3">
      <c r="A1" s="77" t="s">
        <v>54</v>
      </c>
      <c r="B1" s="77"/>
      <c r="C1" s="77"/>
      <c r="D1" s="76"/>
      <c r="J1" s="77" t="s">
        <v>54</v>
      </c>
      <c r="K1" s="77"/>
      <c r="L1" s="77"/>
      <c r="M1" s="76"/>
    </row>
    <row r="2" spans="1:15" x14ac:dyDescent="0.3">
      <c r="A2" s="77" t="s">
        <v>178</v>
      </c>
      <c r="B2" s="77"/>
      <c r="C2" s="77"/>
      <c r="D2" s="76"/>
      <c r="J2" s="77" t="s">
        <v>183</v>
      </c>
      <c r="K2" s="77"/>
      <c r="L2" s="77"/>
      <c r="M2" s="76"/>
    </row>
    <row r="3" spans="1:15" x14ac:dyDescent="0.3">
      <c r="A3" s="77" t="s">
        <v>165</v>
      </c>
      <c r="B3" s="76"/>
      <c r="C3" s="76" t="s">
        <v>166</v>
      </c>
      <c r="D3" s="77" t="s">
        <v>167</v>
      </c>
      <c r="E3" s="323" t="s">
        <v>184</v>
      </c>
      <c r="F3" s="324"/>
      <c r="J3" s="77" t="s">
        <v>165</v>
      </c>
      <c r="K3" s="76"/>
      <c r="L3" s="76" t="s">
        <v>166</v>
      </c>
      <c r="M3" s="77" t="s">
        <v>167</v>
      </c>
      <c r="N3" s="323" t="s">
        <v>184</v>
      </c>
      <c r="O3" s="324"/>
    </row>
    <row r="4" spans="1:15" x14ac:dyDescent="0.3">
      <c r="A4" s="80">
        <v>0</v>
      </c>
      <c r="B4" s="76" t="s">
        <v>168</v>
      </c>
      <c r="C4" s="76"/>
      <c r="D4" s="76">
        <f>'Balance Sheet'!K19</f>
        <v>69884.66</v>
      </c>
      <c r="E4" s="78" t="s">
        <v>185</v>
      </c>
      <c r="F4" s="81">
        <v>0.15</v>
      </c>
      <c r="J4" s="76">
        <v>0</v>
      </c>
      <c r="K4" s="76" t="s">
        <v>168</v>
      </c>
      <c r="L4" s="76"/>
      <c r="M4" s="76">
        <f>'Balance Sheet'!K19</f>
        <v>69884.66</v>
      </c>
      <c r="N4" s="78" t="s">
        <v>185</v>
      </c>
      <c r="O4" s="81">
        <v>0.25</v>
      </c>
    </row>
    <row r="5" spans="1:15" x14ac:dyDescent="0.3">
      <c r="A5" s="80">
        <v>1</v>
      </c>
      <c r="B5" s="76" t="s">
        <v>169</v>
      </c>
      <c r="C5" s="83">
        <f>'Cash Flow'!$K$7*(1+'Dhandho model'!$F$4)^'Dhandho model'!A5</f>
        <v>31607.037</v>
      </c>
      <c r="D5" s="83">
        <f>C5/(1+$F$7)^A5</f>
        <v>29959.276777251187</v>
      </c>
      <c r="E5" s="78" t="s">
        <v>186</v>
      </c>
      <c r="F5" s="81">
        <v>0.1</v>
      </c>
      <c r="J5" s="76">
        <v>1</v>
      </c>
      <c r="K5" s="76" t="s">
        <v>169</v>
      </c>
      <c r="L5" s="83">
        <f>'Cash Flow'!$K$14*(1+'Dhandho model'!$O$4)^'Dhandho model'!J5</f>
        <v>38102.885974999997</v>
      </c>
      <c r="M5" s="83">
        <f>L5/(1+$O$7)^J5</f>
        <v>36116.479597156394</v>
      </c>
      <c r="N5" s="78" t="s">
        <v>186</v>
      </c>
      <c r="O5" s="81">
        <v>0.2</v>
      </c>
    </row>
    <row r="6" spans="1:15" x14ac:dyDescent="0.3">
      <c r="A6" s="80">
        <v>2</v>
      </c>
      <c r="B6" s="76" t="s">
        <v>170</v>
      </c>
      <c r="C6" s="83">
        <f>'Cash Flow'!$K$7*(1+'Dhandho model'!$F$4)^'Dhandho model'!A6</f>
        <v>36348.092549999994</v>
      </c>
      <c r="D6" s="83">
        <f t="shared" ref="D6:D14" si="0">C6/(1+$F$7)^A6</f>
        <v>32657.031558141098</v>
      </c>
      <c r="E6" s="78" t="s">
        <v>187</v>
      </c>
      <c r="F6" s="81">
        <v>0.05</v>
      </c>
      <c r="J6" s="76">
        <v>2</v>
      </c>
      <c r="K6" s="76" t="s">
        <v>170</v>
      </c>
      <c r="L6" s="83">
        <f>'Cash Flow'!$K$14*(1+'Dhandho model'!$O$4)^'Dhandho model'!J6</f>
        <v>47628.60746875</v>
      </c>
      <c r="M6" s="83">
        <f t="shared" ref="M6:M15" si="1">L6/(1+$O$7)^J6</f>
        <v>42792.037437389103</v>
      </c>
      <c r="N6" s="78" t="s">
        <v>187</v>
      </c>
      <c r="O6" s="81">
        <v>0.15</v>
      </c>
    </row>
    <row r="7" spans="1:15" x14ac:dyDescent="0.3">
      <c r="A7" s="80">
        <v>3</v>
      </c>
      <c r="B7" s="76" t="s">
        <v>171</v>
      </c>
      <c r="C7" s="83">
        <f>'Cash Flow'!$K$7*(1+'Dhandho model'!$F$4)^'Dhandho model'!A7</f>
        <v>41800.306432499987</v>
      </c>
      <c r="D7" s="83">
        <f t="shared" si="0"/>
        <v>35597.712124987927</v>
      </c>
      <c r="E7" s="79" t="s">
        <v>188</v>
      </c>
      <c r="F7" s="82">
        <v>5.5E-2</v>
      </c>
      <c r="J7" s="76">
        <v>3</v>
      </c>
      <c r="K7" s="76" t="s">
        <v>171</v>
      </c>
      <c r="L7" s="83">
        <f>'Cash Flow'!$K$14*(1+'Dhandho model'!$O$4)^'Dhandho model'!J7</f>
        <v>59535.759335937502</v>
      </c>
      <c r="M7" s="83">
        <f t="shared" si="1"/>
        <v>50701.466158043964</v>
      </c>
      <c r="N7" s="79" t="s">
        <v>188</v>
      </c>
      <c r="O7" s="82">
        <v>5.5E-2</v>
      </c>
    </row>
    <row r="8" spans="1:15" x14ac:dyDescent="0.3">
      <c r="A8" s="80">
        <v>4</v>
      </c>
      <c r="B8" s="76" t="s">
        <v>172</v>
      </c>
      <c r="C8" s="83">
        <f>C7*(1+$F$5)</f>
        <v>45980.337075749987</v>
      </c>
      <c r="D8" s="83">
        <f t="shared" si="0"/>
        <v>37116.097950224379</v>
      </c>
      <c r="J8" s="76">
        <v>4</v>
      </c>
      <c r="K8" s="76" t="s">
        <v>172</v>
      </c>
      <c r="L8" s="83">
        <f>L7*(1+$O$5)</f>
        <v>71442.911203124997</v>
      </c>
      <c r="M8" s="83">
        <f t="shared" si="1"/>
        <v>57669.914113414932</v>
      </c>
    </row>
    <row r="9" spans="1:15" x14ac:dyDescent="0.3">
      <c r="A9" s="80">
        <v>5</v>
      </c>
      <c r="B9" s="76" t="s">
        <v>173</v>
      </c>
      <c r="C9" s="83">
        <f t="shared" ref="C9:C10" si="2">C8*(1+$F$5)</f>
        <v>50578.370783324986</v>
      </c>
      <c r="D9" s="83">
        <f t="shared" si="0"/>
        <v>38699.249047627316</v>
      </c>
      <c r="J9" s="76">
        <v>5</v>
      </c>
      <c r="K9" s="76" t="s">
        <v>173</v>
      </c>
      <c r="L9" s="83">
        <f t="shared" ref="L9:L10" si="3">L8*(1+$O$5)</f>
        <v>85731.493443749991</v>
      </c>
      <c r="M9" s="83">
        <f t="shared" si="1"/>
        <v>65596.110839903238</v>
      </c>
    </row>
    <row r="10" spans="1:15" x14ac:dyDescent="0.3">
      <c r="A10" s="80">
        <v>6</v>
      </c>
      <c r="B10" s="76" t="s">
        <v>174</v>
      </c>
      <c r="C10" s="83">
        <f t="shared" si="2"/>
        <v>55636.207861657487</v>
      </c>
      <c r="D10" s="83">
        <f t="shared" si="0"/>
        <v>40349.927916957393</v>
      </c>
      <c r="J10" s="76">
        <v>6</v>
      </c>
      <c r="K10" s="76" t="s">
        <v>174</v>
      </c>
      <c r="L10" s="83">
        <f t="shared" si="3"/>
        <v>102877.79213249999</v>
      </c>
      <c r="M10" s="83">
        <f t="shared" si="1"/>
        <v>74611.690054866252</v>
      </c>
    </row>
    <row r="11" spans="1:15" x14ac:dyDescent="0.3">
      <c r="A11" s="80">
        <v>7</v>
      </c>
      <c r="B11" s="76" t="s">
        <v>175</v>
      </c>
      <c r="C11" s="83">
        <f>C10*(1+$F$6)</f>
        <v>58418.018254740367</v>
      </c>
      <c r="D11" s="83">
        <f t="shared" si="0"/>
        <v>40158.696031095045</v>
      </c>
      <c r="J11" s="76">
        <v>7</v>
      </c>
      <c r="K11" s="76" t="s">
        <v>175</v>
      </c>
      <c r="L11" s="83">
        <f>L10*(1+$O$6)</f>
        <v>118309.46095237498</v>
      </c>
      <c r="M11" s="83">
        <f t="shared" si="1"/>
        <v>81330.278258858947</v>
      </c>
    </row>
    <row r="12" spans="1:15" x14ac:dyDescent="0.3">
      <c r="A12" s="80">
        <v>8</v>
      </c>
      <c r="B12" s="76" t="s">
        <v>176</v>
      </c>
      <c r="C12" s="83">
        <f t="shared" ref="C12:C14" si="4">C11*(1+$F$6)</f>
        <v>61338.91916747739</v>
      </c>
      <c r="D12" s="83">
        <f t="shared" si="0"/>
        <v>39968.370457487959</v>
      </c>
      <c r="J12" s="76">
        <v>8</v>
      </c>
      <c r="K12" s="76" t="s">
        <v>176</v>
      </c>
      <c r="L12" s="83">
        <f t="shared" ref="L12:L14" si="5">L11*(1+$O$6)</f>
        <v>136055.88009523123</v>
      </c>
      <c r="M12" s="83">
        <f t="shared" si="1"/>
        <v>88653.857817713535</v>
      </c>
    </row>
    <row r="13" spans="1:15" x14ac:dyDescent="0.3">
      <c r="A13" s="80">
        <v>9</v>
      </c>
      <c r="B13" s="76" t="s">
        <v>177</v>
      </c>
      <c r="C13" s="83">
        <f t="shared" si="4"/>
        <v>64405.865125851262</v>
      </c>
      <c r="D13" s="83">
        <f t="shared" si="0"/>
        <v>39778.946900817406</v>
      </c>
      <c r="J13" s="76">
        <v>9</v>
      </c>
      <c r="K13" s="76" t="s">
        <v>177</v>
      </c>
      <c r="L13" s="83">
        <f t="shared" si="5"/>
        <v>156464.2621095159</v>
      </c>
      <c r="M13" s="83">
        <f t="shared" si="1"/>
        <v>96636.906625943651</v>
      </c>
    </row>
    <row r="14" spans="1:15" x14ac:dyDescent="0.3">
      <c r="A14" s="80">
        <v>10</v>
      </c>
      <c r="B14" s="76" t="s">
        <v>190</v>
      </c>
      <c r="C14" s="83">
        <f t="shared" si="4"/>
        <v>67626.158382143825</v>
      </c>
      <c r="D14" s="83">
        <f t="shared" si="0"/>
        <v>39590.421086121591</v>
      </c>
      <c r="J14" s="76">
        <v>10</v>
      </c>
      <c r="K14" s="76" t="s">
        <v>190</v>
      </c>
      <c r="L14" s="83">
        <f t="shared" si="5"/>
        <v>179933.90142594327</v>
      </c>
      <c r="M14" s="83">
        <f t="shared" si="1"/>
        <v>105338.8081704599</v>
      </c>
    </row>
    <row r="15" spans="1:15" x14ac:dyDescent="0.3">
      <c r="A15" s="80">
        <v>10</v>
      </c>
      <c r="B15" s="76"/>
      <c r="C15" s="83">
        <f>C14*15</f>
        <v>1014392.3757321574</v>
      </c>
      <c r="D15" s="83">
        <f>D14*15</f>
        <v>593856.31629182387</v>
      </c>
      <c r="J15" s="76">
        <v>10</v>
      </c>
      <c r="K15" s="76"/>
      <c r="L15" s="83">
        <f>L14*25</f>
        <v>4498347.5356485816</v>
      </c>
      <c r="M15" s="83">
        <f t="shared" si="1"/>
        <v>2633470.2042614976</v>
      </c>
    </row>
    <row r="16" spans="1:15" x14ac:dyDescent="0.3">
      <c r="A16" s="76"/>
      <c r="B16" s="76"/>
      <c r="C16" s="76"/>
      <c r="D16" s="76"/>
      <c r="J16" s="76"/>
      <c r="K16" s="76"/>
      <c r="L16" s="76"/>
      <c r="M16" s="76"/>
    </row>
    <row r="17" spans="1:13" x14ac:dyDescent="0.3">
      <c r="A17" s="76"/>
      <c r="B17" s="76"/>
      <c r="C17" s="170" t="s">
        <v>179</v>
      </c>
      <c r="D17" s="76">
        <f>SUM(D4:D15)</f>
        <v>1037616.7061425352</v>
      </c>
      <c r="J17" s="76"/>
      <c r="K17" s="76"/>
      <c r="L17" s="170" t="s">
        <v>179</v>
      </c>
      <c r="M17" s="76">
        <f>SUM(M4:M15)</f>
        <v>3402802.4133352474</v>
      </c>
    </row>
    <row r="18" spans="1:13" x14ac:dyDescent="0.3">
      <c r="A18" s="76"/>
      <c r="B18" s="76"/>
      <c r="C18" s="170" t="s">
        <v>180</v>
      </c>
      <c r="D18" s="83">
        <f>D17/'Data Sheet'!B6</f>
        <v>1640.5013165941423</v>
      </c>
      <c r="J18" s="76"/>
      <c r="K18" s="76"/>
      <c r="L18" s="170" t="s">
        <v>180</v>
      </c>
      <c r="M18" s="83">
        <f>M17/'Data Sheet'!B6</f>
        <v>5379.9267168115248</v>
      </c>
    </row>
    <row r="19" spans="1:13" x14ac:dyDescent="0.3">
      <c r="A19" s="76"/>
      <c r="B19" s="76"/>
      <c r="C19" s="170" t="s">
        <v>181</v>
      </c>
      <c r="D19" s="76">
        <f>'Data Sheet'!B9</f>
        <v>592367.66</v>
      </c>
      <c r="J19" s="76"/>
      <c r="K19" s="76"/>
      <c r="L19" s="170" t="s">
        <v>181</v>
      </c>
      <c r="M19" s="76">
        <f>'Data Sheet'!B9</f>
        <v>592367.66</v>
      </c>
    </row>
    <row r="20" spans="1:13" x14ac:dyDescent="0.3">
      <c r="A20" s="76"/>
      <c r="B20" s="76"/>
      <c r="C20" s="170" t="s">
        <v>191</v>
      </c>
      <c r="D20" s="84">
        <f>D19/D17-1</f>
        <v>-0.4291074377530042</v>
      </c>
      <c r="J20" s="76"/>
      <c r="K20" s="76"/>
      <c r="L20" s="170" t="s">
        <v>182</v>
      </c>
      <c r="M20" s="84">
        <f>M19/M17-1</f>
        <v>-0.82591770310301604</v>
      </c>
    </row>
  </sheetData>
  <mergeCells count="2">
    <mergeCell ref="E3:F3"/>
    <mergeCell ref="N3:O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10C8-D14A-444E-BAC4-76DCD1275262}">
  <sheetPr>
    <tabColor rgb="FF7030A0"/>
  </sheetPr>
  <dimension ref="A1:Q32"/>
  <sheetViews>
    <sheetView tabSelected="1" topLeftCell="B1" zoomScale="52" workbookViewId="0">
      <selection activeCell="J35" sqref="J35"/>
    </sheetView>
  </sheetViews>
  <sheetFormatPr defaultRowHeight="14.4" x14ac:dyDescent="0.3"/>
  <cols>
    <col min="2" max="2" width="50.77734375" bestFit="1" customWidth="1"/>
    <col min="3" max="3" width="17.33203125" customWidth="1"/>
    <col min="4" max="4" width="14" customWidth="1"/>
    <col min="5" max="5" width="26.5546875" customWidth="1"/>
    <col min="6" max="6" width="50.77734375" customWidth="1"/>
    <col min="8" max="8" width="18.33203125" customWidth="1"/>
    <col min="13" max="13" width="61.21875" bestFit="1" customWidth="1"/>
    <col min="14" max="14" width="15.6640625" bestFit="1" customWidth="1"/>
    <col min="15" max="15" width="15.88671875" bestFit="1" customWidth="1"/>
    <col min="16" max="16" width="31.33203125" bestFit="1" customWidth="1"/>
    <col min="17" max="17" width="10.33203125" bestFit="1" customWidth="1"/>
  </cols>
  <sheetData>
    <row r="1" spans="1:17" ht="28.8" x14ac:dyDescent="0.55000000000000004">
      <c r="A1" s="85"/>
      <c r="B1" s="325" t="s">
        <v>192</v>
      </c>
      <c r="C1" s="325"/>
      <c r="D1" s="325"/>
      <c r="E1" s="325"/>
      <c r="F1" s="325"/>
      <c r="G1" s="325"/>
      <c r="H1" s="325"/>
      <c r="I1" s="325"/>
      <c r="J1" s="325"/>
      <c r="K1" s="325"/>
      <c r="L1" s="325"/>
      <c r="M1" s="325"/>
      <c r="N1" s="325"/>
      <c r="O1" s="325"/>
      <c r="P1" s="325"/>
      <c r="Q1" s="325"/>
    </row>
    <row r="2" spans="1:17" ht="25.8" customHeight="1" x14ac:dyDescent="0.5">
      <c r="A2" s="85"/>
      <c r="B2" s="326" t="s">
        <v>54</v>
      </c>
      <c r="C2" s="326"/>
      <c r="D2" s="326"/>
      <c r="E2" s="326"/>
      <c r="F2" s="326"/>
      <c r="G2" s="326"/>
      <c r="H2" s="326"/>
      <c r="I2" s="326"/>
      <c r="J2" s="326"/>
      <c r="K2" s="326"/>
      <c r="L2" s="326"/>
      <c r="M2" s="326"/>
      <c r="N2" s="326"/>
      <c r="O2" s="326"/>
      <c r="P2" s="326"/>
      <c r="Q2" s="326"/>
    </row>
    <row r="3" spans="1:17" ht="18" x14ac:dyDescent="0.35">
      <c r="A3" s="85"/>
      <c r="B3" s="327" t="s">
        <v>193</v>
      </c>
      <c r="C3" s="327"/>
      <c r="D3" s="327"/>
      <c r="E3" s="327"/>
      <c r="F3" s="85"/>
      <c r="G3" s="85"/>
      <c r="M3" s="327" t="s">
        <v>224</v>
      </c>
      <c r="N3" s="327"/>
      <c r="O3" s="327"/>
      <c r="P3" s="327"/>
      <c r="Q3" s="93"/>
    </row>
    <row r="4" spans="1:17" ht="15.6" x14ac:dyDescent="0.3">
      <c r="A4" s="85"/>
      <c r="B4" s="87" t="s">
        <v>194</v>
      </c>
      <c r="C4" s="88"/>
      <c r="D4" s="92" t="s">
        <v>212</v>
      </c>
      <c r="E4" s="92" t="s">
        <v>215</v>
      </c>
      <c r="F4" s="92" t="s">
        <v>216</v>
      </c>
      <c r="M4" s="87" t="s">
        <v>194</v>
      </c>
      <c r="N4" s="88"/>
      <c r="O4" s="85"/>
      <c r="P4" s="85"/>
      <c r="Q4" s="85"/>
    </row>
    <row r="5" spans="1:17" ht="15.6" x14ac:dyDescent="0.3">
      <c r="A5" s="85"/>
      <c r="B5" s="89" t="s">
        <v>195</v>
      </c>
      <c r="C5" s="90">
        <v>5.5E-2</v>
      </c>
      <c r="D5" s="85"/>
      <c r="E5" s="85"/>
      <c r="F5" s="85"/>
      <c r="G5" s="85"/>
      <c r="M5" s="89" t="s">
        <v>195</v>
      </c>
      <c r="N5" s="90">
        <v>5.5E-2</v>
      </c>
      <c r="O5" s="85"/>
      <c r="P5" s="92" t="s">
        <v>222</v>
      </c>
      <c r="Q5" s="85"/>
    </row>
    <row r="6" spans="1:17" ht="15.6" x14ac:dyDescent="0.3">
      <c r="A6" s="85"/>
      <c r="B6" s="89" t="s">
        <v>196</v>
      </c>
      <c r="C6" s="91">
        <v>0.02</v>
      </c>
      <c r="D6" s="86" t="s">
        <v>197</v>
      </c>
      <c r="E6" s="92" t="s">
        <v>198</v>
      </c>
      <c r="F6" s="93">
        <f>('Profit &amp; Loss'!K10/'Profit &amp; Loss'!E10)^(1/7)-1</f>
        <v>0.31673377688378945</v>
      </c>
      <c r="G6" s="94"/>
      <c r="M6" s="89" t="s">
        <v>196</v>
      </c>
      <c r="N6" s="91">
        <v>0.02</v>
      </c>
      <c r="O6" s="86" t="s">
        <v>197</v>
      </c>
      <c r="P6" s="92" t="s">
        <v>223</v>
      </c>
      <c r="Q6" s="112">
        <f>('Profit &amp; Loss'!K10/'Profit &amp; Loss'!E10)^(1/7)-1</f>
        <v>0.31673377688378945</v>
      </c>
    </row>
    <row r="7" spans="1:17" ht="15.6" x14ac:dyDescent="0.3">
      <c r="A7" s="85"/>
      <c r="B7" s="85"/>
      <c r="C7" s="85"/>
      <c r="D7" s="85"/>
      <c r="E7" s="85"/>
      <c r="F7" s="95"/>
      <c r="G7" s="85"/>
    </row>
    <row r="8" spans="1:17" ht="15.6" x14ac:dyDescent="0.3">
      <c r="A8" s="85"/>
      <c r="B8" s="96" t="s">
        <v>199</v>
      </c>
      <c r="C8" s="96" t="s">
        <v>200</v>
      </c>
      <c r="D8" s="96" t="s">
        <v>201</v>
      </c>
      <c r="E8" s="96" t="s">
        <v>202</v>
      </c>
      <c r="F8" s="97" t="s">
        <v>48</v>
      </c>
      <c r="G8" s="98" t="s">
        <v>203</v>
      </c>
      <c r="L8" s="85"/>
      <c r="M8" s="96" t="s">
        <v>199</v>
      </c>
      <c r="N8" s="96" t="s">
        <v>200</v>
      </c>
      <c r="O8" s="96" t="s">
        <v>201</v>
      </c>
      <c r="P8" s="96" t="s">
        <v>202</v>
      </c>
      <c r="Q8" s="112">
        <f>F6/2</f>
        <v>0.15836688844189473</v>
      </c>
    </row>
    <row r="9" spans="1:17" ht="15.6" x14ac:dyDescent="0.3">
      <c r="A9" s="86">
        <v>1</v>
      </c>
      <c r="B9" s="86" t="s">
        <v>204</v>
      </c>
      <c r="C9" s="99">
        <f>'Profit &amp; Loss'!E10</f>
        <v>8199.1299999999992</v>
      </c>
      <c r="D9" s="94">
        <f>1/(1+$C$5)^A9</f>
        <v>0.94786729857819907</v>
      </c>
      <c r="E9" s="100">
        <f>C9*D9</f>
        <v>7771.6872037914682</v>
      </c>
      <c r="F9" s="101">
        <f>C9/E20</f>
        <v>12.96305608834216</v>
      </c>
      <c r="G9" s="101">
        <f>E22/F9</f>
        <v>69.736641872048878</v>
      </c>
      <c r="L9" s="86">
        <v>1</v>
      </c>
      <c r="M9" s="86" t="s">
        <v>225</v>
      </c>
      <c r="N9" s="100">
        <f>$C$15*(1+$Q$8)^L9</f>
        <v>65177.806544622326</v>
      </c>
      <c r="O9" s="94">
        <f>1/(1+$N$5)^L9</f>
        <v>0.94786729857819907</v>
      </c>
      <c r="P9" s="100">
        <f>N9*O9</f>
        <v>61779.911416703631</v>
      </c>
      <c r="Q9" s="85"/>
    </row>
    <row r="10" spans="1:17" ht="15.6" x14ac:dyDescent="0.3">
      <c r="A10" s="86">
        <v>2</v>
      </c>
      <c r="B10" s="86" t="s">
        <v>205</v>
      </c>
      <c r="C10" s="99">
        <f>Annual[[#This Row],[Column6]]</f>
        <v>13544.07</v>
      </c>
      <c r="D10" s="94">
        <f t="shared" ref="D10:D15" si="0">1/(1+$C$5)^A10</f>
        <v>0.89845241571393286</v>
      </c>
      <c r="E10" s="100">
        <f t="shared" ref="E10:E15" si="1">C10*D10</f>
        <v>12168.702410098607</v>
      </c>
      <c r="F10" s="85"/>
      <c r="G10" s="85"/>
      <c r="L10" s="86">
        <v>2</v>
      </c>
      <c r="M10" s="86" t="s">
        <v>226</v>
      </c>
      <c r="N10" s="100">
        <f>$C$15*(1+$Q$8)^L10</f>
        <v>75499.812962561919</v>
      </c>
      <c r="O10" s="94">
        <f>1/(1+$N$5)^L10</f>
        <v>0.89845241571393286</v>
      </c>
      <c r="P10" s="100">
        <f t="shared" ref="P10:P18" si="2">N10*O10</f>
        <v>67832.989342163855</v>
      </c>
      <c r="Q10" s="85"/>
    </row>
    <row r="11" spans="1:17" ht="15.6" x14ac:dyDescent="0.3">
      <c r="A11" s="86">
        <v>3</v>
      </c>
      <c r="B11" s="86" t="s">
        <v>206</v>
      </c>
      <c r="C11" s="99">
        <f>'Profit &amp; Loss'!G10</f>
        <v>12150.87</v>
      </c>
      <c r="D11" s="94">
        <f t="shared" si="0"/>
        <v>0.85161366418382267</v>
      </c>
      <c r="E11" s="100">
        <f t="shared" si="1"/>
        <v>10347.846923721287</v>
      </c>
      <c r="F11" s="85"/>
      <c r="G11" s="85"/>
      <c r="L11" s="86">
        <v>3</v>
      </c>
      <c r="M11" s="86" t="s">
        <v>227</v>
      </c>
      <c r="N11" s="100">
        <f>$C$15*(1+$Q$8)^L11</f>
        <v>87456.483419387878</v>
      </c>
      <c r="O11" s="94">
        <f>1/(1+$N$5)^L11</f>
        <v>0.85161366418382267</v>
      </c>
      <c r="P11" s="100">
        <f t="shared" si="2"/>
        <v>74479.136301416642</v>
      </c>
      <c r="Q11" s="100"/>
    </row>
    <row r="12" spans="1:17" ht="15.6" x14ac:dyDescent="0.3">
      <c r="A12" s="86">
        <v>4</v>
      </c>
      <c r="B12" s="86" t="s">
        <v>207</v>
      </c>
      <c r="C12" s="99">
        <f>'Profit &amp; Loss'!H10</f>
        <v>12137.87</v>
      </c>
      <c r="D12" s="94">
        <f t="shared" si="0"/>
        <v>0.80721674330220161</v>
      </c>
      <c r="E12" s="100">
        <f t="shared" si="1"/>
        <v>9797.8918920254946</v>
      </c>
      <c r="F12" s="85"/>
      <c r="G12" s="85"/>
      <c r="L12" s="86">
        <v>4</v>
      </c>
      <c r="M12" s="86" t="s">
        <v>228</v>
      </c>
      <c r="N12" s="100">
        <f>$C$15*(1+$Q$8)^L12</f>
        <v>101306.69457258649</v>
      </c>
      <c r="O12" s="94">
        <f>1/(1+$N$5)^L12</f>
        <v>0.80721674330220161</v>
      </c>
      <c r="P12" s="100">
        <f t="shared" si="2"/>
        <v>81776.460067594089</v>
      </c>
      <c r="Q12" s="100"/>
    </row>
    <row r="13" spans="1:17" ht="15.6" x14ac:dyDescent="0.3">
      <c r="A13" s="86">
        <v>5</v>
      </c>
      <c r="B13" s="86" t="s">
        <v>208</v>
      </c>
      <c r="C13" s="99">
        <f>'Profit &amp; Loss'!I10</f>
        <v>41462.89</v>
      </c>
      <c r="D13" s="94">
        <f t="shared" si="0"/>
        <v>0.76513435384094941</v>
      </c>
      <c r="E13" s="100">
        <f t="shared" si="1"/>
        <v>31724.681548528362</v>
      </c>
      <c r="F13" s="85"/>
      <c r="G13" s="85"/>
      <c r="L13" s="86">
        <v>5</v>
      </c>
      <c r="M13" s="86" t="s">
        <v>229</v>
      </c>
      <c r="N13" s="100">
        <f>$C$15*(1+$Q$8)^L13</f>
        <v>117350.3205703804</v>
      </c>
      <c r="O13" s="94">
        <f>1/(1+$N$5)^L13</f>
        <v>0.76513435384094941</v>
      </c>
      <c r="P13" s="100">
        <f t="shared" si="2"/>
        <v>89788.761702646283</v>
      </c>
      <c r="Q13" s="100"/>
    </row>
    <row r="14" spans="1:17" ht="15.6" x14ac:dyDescent="0.3">
      <c r="A14" s="86">
        <v>6</v>
      </c>
      <c r="B14" s="86" t="s">
        <v>209</v>
      </c>
      <c r="C14" s="99">
        <f>'Profit &amp; Loss'!J10</f>
        <v>47013.54</v>
      </c>
      <c r="D14" s="94">
        <f t="shared" si="0"/>
        <v>0.72524583302459655</v>
      </c>
      <c r="E14" s="100">
        <f t="shared" si="1"/>
        <v>34096.373980735189</v>
      </c>
      <c r="F14" s="85"/>
      <c r="G14" s="85"/>
      <c r="L14" s="86">
        <v>6</v>
      </c>
      <c r="M14" s="86" t="s">
        <v>230</v>
      </c>
      <c r="N14" s="100">
        <f>$C$15*(1+$Q$8)^L14</f>
        <v>135934.72569677042</v>
      </c>
      <c r="O14" s="94">
        <f>1/(1+$N$5)^L14</f>
        <v>0.72524583302459655</v>
      </c>
      <c r="P14" s="100">
        <f t="shared" si="2"/>
        <v>98586.093374924298</v>
      </c>
      <c r="Q14" s="100"/>
    </row>
    <row r="15" spans="1:17" ht="15.6" x14ac:dyDescent="0.3">
      <c r="A15" s="86">
        <v>7</v>
      </c>
      <c r="B15" s="86" t="s">
        <v>210</v>
      </c>
      <c r="C15" s="99">
        <f>'Profit &amp; Loss'!K10</f>
        <v>56266.98</v>
      </c>
      <c r="D15" s="94">
        <f t="shared" si="0"/>
        <v>0.68743680855412004</v>
      </c>
      <c r="E15" s="100">
        <f t="shared" si="1"/>
        <v>38679.993158178506</v>
      </c>
      <c r="F15" s="85"/>
      <c r="G15" s="85"/>
      <c r="L15" s="86">
        <v>7</v>
      </c>
      <c r="M15" s="86" t="s">
        <v>231</v>
      </c>
      <c r="N15" s="100">
        <f>$C$15*(1+$Q$8)^L15</f>
        <v>157462.2852365704</v>
      </c>
      <c r="O15" s="94">
        <f>1/(1+$N$5)^L15</f>
        <v>0.68743680855412004</v>
      </c>
      <c r="P15" s="100">
        <f t="shared" si="2"/>
        <v>108245.37083066649</v>
      </c>
      <c r="Q15" s="100"/>
    </row>
    <row r="16" spans="1:17" ht="15.6" x14ac:dyDescent="0.3">
      <c r="A16" s="85"/>
      <c r="B16" s="102" t="s">
        <v>211</v>
      </c>
      <c r="C16" s="99">
        <f>SUM(C9:C15)</f>
        <v>190775.35</v>
      </c>
      <c r="D16" s="94"/>
      <c r="E16" s="103">
        <f>SUM(E9:E15)</f>
        <v>144587.17711707891</v>
      </c>
      <c r="F16" s="85"/>
      <c r="G16" s="85"/>
      <c r="L16" s="86">
        <v>8</v>
      </c>
      <c r="M16" s="86" t="s">
        <v>232</v>
      </c>
      <c r="N16" s="100">
        <f>$C$15*(1+$Q$8)^L16</f>
        <v>182399.09739643612</v>
      </c>
      <c r="O16" s="94">
        <f>1/(1+$N$5)^L16</f>
        <v>0.6515988706674124</v>
      </c>
      <c r="P16" s="100">
        <f t="shared" si="2"/>
        <v>118851.04587427314</v>
      </c>
      <c r="Q16" s="100"/>
    </row>
    <row r="17" spans="1:17" ht="15.6" x14ac:dyDescent="0.3">
      <c r="A17" s="85"/>
      <c r="B17" s="102" t="s">
        <v>212</v>
      </c>
      <c r="C17" s="100">
        <f>C15/(C5-C6)</f>
        <v>1607628</v>
      </c>
      <c r="D17" s="94">
        <v>0.68740000000000001</v>
      </c>
      <c r="E17" s="104">
        <f>C17*D17</f>
        <v>1105083.4872000001</v>
      </c>
      <c r="F17" s="85"/>
      <c r="G17" s="85"/>
      <c r="H17" s="85"/>
      <c r="I17" s="85"/>
      <c r="J17" s="85"/>
      <c r="L17" s="86">
        <v>9</v>
      </c>
      <c r="M17" s="86" t="s">
        <v>233</v>
      </c>
      <c r="N17" s="100">
        <f>$C$15*(1+$Q$8)^L17</f>
        <v>211285.07490571981</v>
      </c>
      <c r="O17" s="94">
        <f>1/(1+$N$5)^L17</f>
        <v>0.6176292612961255</v>
      </c>
      <c r="P17" s="100">
        <f t="shared" si="2"/>
        <v>130495.84473691627</v>
      </c>
      <c r="Q17" s="100" t="s">
        <v>243</v>
      </c>
    </row>
    <row r="18" spans="1:17" ht="15.6" x14ac:dyDescent="0.3">
      <c r="A18" s="85"/>
      <c r="B18" s="105" t="s">
        <v>213</v>
      </c>
      <c r="C18" s="99">
        <f>SUM(C16:C17)</f>
        <v>1798403.35</v>
      </c>
      <c r="D18" s="85"/>
      <c r="E18" s="106">
        <f>E16+E17</f>
        <v>1249670.6643170789</v>
      </c>
      <c r="F18" s="107">
        <f>C15/E20</f>
        <v>88.9596844618425</v>
      </c>
      <c r="G18" s="107">
        <f>E22/F18</f>
        <v>10.161906547541239</v>
      </c>
      <c r="H18" s="85"/>
      <c r="I18" s="85"/>
      <c r="J18" s="85"/>
      <c r="L18" s="86">
        <v>10</v>
      </c>
      <c r="M18" s="86" t="s">
        <v>260</v>
      </c>
      <c r="N18" s="100">
        <f>$C$15*(1+$Q$8)^L18</f>
        <v>244745.63479275131</v>
      </c>
      <c r="O18" s="94">
        <f>1/(1+$N$5)^L18</f>
        <v>0.58543057942760712</v>
      </c>
      <c r="P18" s="100">
        <f t="shared" si="2"/>
        <v>143281.57878909793</v>
      </c>
      <c r="Q18" s="100"/>
    </row>
    <row r="19" spans="1:17" ht="15.6" x14ac:dyDescent="0.3">
      <c r="A19" s="85"/>
      <c r="B19" s="102" t="s">
        <v>214</v>
      </c>
      <c r="C19" s="85"/>
      <c r="D19" s="85"/>
      <c r="E19" s="86">
        <f>'Data Sheet'!B7</f>
        <v>10</v>
      </c>
      <c r="F19" s="85"/>
      <c r="G19" s="85"/>
      <c r="L19" s="85"/>
      <c r="M19" s="102" t="s">
        <v>211</v>
      </c>
      <c r="N19" s="100">
        <f>SUM(N9:N18)</f>
        <v>1378617.9360977872</v>
      </c>
      <c r="O19" s="85"/>
      <c r="P19" s="113">
        <f>SUM(P9:P18)</f>
        <v>975117.19243640266</v>
      </c>
      <c r="Q19" s="100"/>
    </row>
    <row r="20" spans="1:17" ht="15.6" x14ac:dyDescent="0.3">
      <c r="A20" s="85"/>
      <c r="B20" s="102" t="s">
        <v>217</v>
      </c>
      <c r="C20" s="85"/>
      <c r="D20" s="85"/>
      <c r="E20" s="108">
        <f>'Data Sheet'!B6</f>
        <v>632.49977043403987</v>
      </c>
      <c r="F20" s="85"/>
      <c r="G20" s="85"/>
      <c r="H20" s="85"/>
      <c r="I20" s="85"/>
      <c r="J20" s="85"/>
      <c r="L20" s="85"/>
      <c r="M20" s="102" t="s">
        <v>212</v>
      </c>
      <c r="N20" s="86">
        <f>N18/(N5-N6)</f>
        <v>6992732.4226500364</v>
      </c>
      <c r="O20" s="94">
        <v>0.58540000000000003</v>
      </c>
      <c r="P20" s="113">
        <f>N20*O20</f>
        <v>4093545.5602193316</v>
      </c>
      <c r="Q20" s="100"/>
    </row>
    <row r="21" spans="1:17" ht="15.6" x14ac:dyDescent="0.3">
      <c r="A21" s="85"/>
      <c r="B21" s="102" t="s">
        <v>218</v>
      </c>
      <c r="C21" s="85"/>
      <c r="D21" s="85"/>
      <c r="E21" s="108">
        <f>E20*E19</f>
        <v>6324.9977043403987</v>
      </c>
      <c r="F21" s="85"/>
      <c r="G21" s="85"/>
      <c r="H21" s="85"/>
      <c r="I21" s="85"/>
      <c r="J21" s="85"/>
      <c r="L21" s="85"/>
      <c r="M21" s="114" t="s">
        <v>234</v>
      </c>
      <c r="N21" s="106">
        <f>SUM(N19:N20)</f>
        <v>8371350.3587478232</v>
      </c>
      <c r="O21" s="115"/>
      <c r="P21" s="106">
        <f>P19+P20</f>
        <v>5068662.7526557343</v>
      </c>
      <c r="Q21" s="85"/>
    </row>
    <row r="22" spans="1:17" ht="15.6" x14ac:dyDescent="0.3">
      <c r="A22" s="85"/>
      <c r="B22" s="102" t="s">
        <v>219</v>
      </c>
      <c r="C22" s="85"/>
      <c r="D22" s="85"/>
      <c r="E22" s="86">
        <v>904</v>
      </c>
      <c r="F22" s="85"/>
      <c r="G22" s="85"/>
      <c r="H22" s="85"/>
      <c r="I22" s="85"/>
      <c r="J22" s="85"/>
      <c r="L22" s="85"/>
      <c r="M22" s="102" t="s">
        <v>214</v>
      </c>
      <c r="N22" s="85"/>
      <c r="O22" s="85"/>
      <c r="P22" s="86">
        <f>'Data Sheet'!B7</f>
        <v>10</v>
      </c>
      <c r="Q22" s="85"/>
    </row>
    <row r="23" spans="1:17" ht="15.6" x14ac:dyDescent="0.3">
      <c r="A23" s="85"/>
      <c r="B23" s="102" t="s">
        <v>220</v>
      </c>
      <c r="C23" s="85"/>
      <c r="D23" s="85"/>
      <c r="E23" s="108">
        <f>E22*E20</f>
        <v>571779.79247237206</v>
      </c>
      <c r="F23" s="85"/>
      <c r="G23" s="85"/>
      <c r="H23" s="85"/>
      <c r="I23" s="85"/>
      <c r="J23" s="85"/>
      <c r="L23" s="85"/>
      <c r="M23" s="102" t="s">
        <v>235</v>
      </c>
      <c r="N23" s="85"/>
      <c r="O23" s="85"/>
      <c r="P23" s="108">
        <f>'Data Sheet'!B6</f>
        <v>632.49977043403987</v>
      </c>
      <c r="Q23" s="85"/>
    </row>
    <row r="24" spans="1:17" ht="15.6" x14ac:dyDescent="0.3">
      <c r="A24" s="85"/>
      <c r="B24" s="109" t="s">
        <v>221</v>
      </c>
      <c r="C24" s="110">
        <f>(C17+C16)/E20</f>
        <v>2843.3264865311858</v>
      </c>
      <c r="D24" s="111"/>
      <c r="E24" s="110">
        <f>E18/E20</f>
        <v>1975.7646132575167</v>
      </c>
      <c r="F24" s="85"/>
      <c r="G24" s="85"/>
      <c r="H24" s="85"/>
      <c r="I24" s="85"/>
      <c r="J24" s="85"/>
      <c r="L24" s="85"/>
      <c r="M24" s="102" t="s">
        <v>236</v>
      </c>
      <c r="N24" s="85"/>
      <c r="O24" s="85"/>
      <c r="P24" s="86">
        <f>'Data Sheet'!B8</f>
        <v>936.55</v>
      </c>
      <c r="Q24" s="85"/>
    </row>
    <row r="25" spans="1:17" ht="15.6" x14ac:dyDescent="0.3">
      <c r="E25" s="24"/>
      <c r="L25" s="85"/>
      <c r="M25" s="102" t="s">
        <v>237</v>
      </c>
      <c r="N25" s="85"/>
      <c r="O25" s="85"/>
      <c r="P25" s="108">
        <f>P23*P22</f>
        <v>6324.9977043403987</v>
      </c>
      <c r="Q25" s="85"/>
    </row>
    <row r="26" spans="1:17" ht="15.6" x14ac:dyDescent="0.3">
      <c r="A26" s="85"/>
      <c r="G26" s="85"/>
      <c r="H26" s="85"/>
      <c r="I26" s="85"/>
      <c r="J26" s="85"/>
      <c r="M26" s="102" t="s">
        <v>238</v>
      </c>
      <c r="N26" s="85"/>
      <c r="O26" s="85"/>
      <c r="P26" s="108">
        <f>P24*P23</f>
        <v>592367.66</v>
      </c>
    </row>
    <row r="27" spans="1:17" ht="15.6" x14ac:dyDescent="0.3">
      <c r="A27" s="85"/>
      <c r="G27" s="85"/>
      <c r="H27" s="85"/>
      <c r="I27" s="85"/>
      <c r="J27" s="85"/>
      <c r="M27" s="102" t="s">
        <v>239</v>
      </c>
      <c r="N27" s="116">
        <f>N21/P23</f>
        <v>13235.341339338602</v>
      </c>
      <c r="O27" s="117" t="s">
        <v>240</v>
      </c>
      <c r="P27" s="116">
        <f>P21/P23</f>
        <v>8013.6989602027352</v>
      </c>
    </row>
    <row r="28" spans="1:17" ht="15.6" x14ac:dyDescent="0.3">
      <c r="A28" s="85"/>
      <c r="G28" s="85"/>
      <c r="H28" s="85"/>
      <c r="I28" s="85"/>
      <c r="J28" s="85"/>
      <c r="M28" s="118" t="s">
        <v>241</v>
      </c>
      <c r="N28" s="119">
        <f>N18/P23</f>
        <v>386.94976066916149</v>
      </c>
      <c r="O28" s="85"/>
      <c r="P28" s="85"/>
    </row>
    <row r="29" spans="1:17" ht="15.6" x14ac:dyDescent="0.3">
      <c r="A29" s="85"/>
      <c r="G29" s="85"/>
      <c r="H29" s="85"/>
      <c r="I29" s="85"/>
      <c r="J29" s="85"/>
      <c r="M29" s="114" t="s">
        <v>242</v>
      </c>
      <c r="N29" s="120">
        <f>P27/N28</f>
        <v>20.709920963239398</v>
      </c>
      <c r="O29" s="85"/>
      <c r="P29" s="85"/>
    </row>
    <row r="31" spans="1:17" ht="15.6" x14ac:dyDescent="0.3">
      <c r="G31" s="85"/>
      <c r="H31" s="85"/>
      <c r="I31" s="85"/>
      <c r="J31" s="85"/>
    </row>
    <row r="32" spans="1:17" ht="15.6" x14ac:dyDescent="0.3">
      <c r="G32" s="85"/>
      <c r="H32" s="85"/>
      <c r="I32" s="85"/>
      <c r="J32" s="85"/>
    </row>
  </sheetData>
  <mergeCells count="4">
    <mergeCell ref="B3:E3"/>
    <mergeCell ref="M3:P3"/>
    <mergeCell ref="B1:Q1"/>
    <mergeCell ref="B2:Q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1544D-736F-4339-8B61-21AEA3400EB9}">
  <sheetPr>
    <tabColor theme="9"/>
  </sheetPr>
  <dimension ref="A1:L30"/>
  <sheetViews>
    <sheetView showGridLines="0" zoomScale="106" workbookViewId="0">
      <selection activeCell="D12" sqref="D12:L12"/>
    </sheetView>
  </sheetViews>
  <sheetFormatPr defaultRowHeight="14.4" x14ac:dyDescent="0.3"/>
  <cols>
    <col min="1" max="1" width="41.88671875" bestFit="1" customWidth="1"/>
    <col min="2" max="2" width="11.6640625" bestFit="1" customWidth="1"/>
    <col min="3" max="5" width="6.88671875" bestFit="1" customWidth="1"/>
    <col min="6" max="8" width="7.77734375" bestFit="1" customWidth="1"/>
    <col min="9" max="10" width="12.109375" bestFit="1" customWidth="1"/>
  </cols>
  <sheetData>
    <row r="1" spans="1:12" x14ac:dyDescent="0.3">
      <c r="A1" s="275"/>
      <c r="B1" s="275"/>
      <c r="C1" s="275"/>
      <c r="D1" s="275"/>
      <c r="E1" s="275"/>
      <c r="F1" s="275"/>
      <c r="G1" s="275"/>
      <c r="H1" s="275"/>
      <c r="I1" s="275"/>
      <c r="J1" s="275"/>
    </row>
    <row r="2" spans="1:12" x14ac:dyDescent="0.3">
      <c r="A2" s="275"/>
      <c r="B2" s="275"/>
      <c r="C2" s="275"/>
      <c r="D2" s="275"/>
      <c r="E2" s="275"/>
      <c r="F2" s="275"/>
      <c r="G2" s="275"/>
      <c r="H2" s="275"/>
      <c r="I2" s="275"/>
      <c r="J2" s="275"/>
    </row>
    <row r="3" spans="1:12" x14ac:dyDescent="0.3">
      <c r="A3" s="275"/>
      <c r="B3" s="275"/>
      <c r="C3" s="275"/>
      <c r="D3" s="275"/>
      <c r="E3" s="275"/>
      <c r="F3" s="275"/>
      <c r="G3" s="275"/>
      <c r="H3" s="275"/>
      <c r="I3" s="275"/>
      <c r="J3" s="275"/>
    </row>
    <row r="5" spans="1:12" ht="19.2" x14ac:dyDescent="0.35">
      <c r="A5" s="276" t="s">
        <v>261</v>
      </c>
      <c r="B5" s="277"/>
      <c r="C5" s="277"/>
      <c r="D5" s="277"/>
      <c r="E5" s="277"/>
      <c r="F5" s="277"/>
      <c r="G5" s="277"/>
      <c r="H5" s="277"/>
      <c r="I5" s="277"/>
      <c r="J5" s="277"/>
    </row>
    <row r="6" spans="1:12" x14ac:dyDescent="0.3">
      <c r="A6" s="278" t="s">
        <v>54</v>
      </c>
      <c r="B6" s="279"/>
      <c r="C6" s="279"/>
      <c r="D6" s="279"/>
      <c r="E6" s="279"/>
      <c r="F6" s="279"/>
      <c r="G6" s="279"/>
      <c r="H6" s="279"/>
      <c r="I6" s="279"/>
      <c r="J6" s="279"/>
    </row>
    <row r="7" spans="1:12" x14ac:dyDescent="0.3">
      <c r="A7" s="139" t="s">
        <v>262</v>
      </c>
      <c r="B7" s="140">
        <v>43555</v>
      </c>
      <c r="C7" s="140">
        <v>43921</v>
      </c>
      <c r="D7" s="140">
        <v>44286</v>
      </c>
      <c r="E7" s="140">
        <v>44651</v>
      </c>
      <c r="F7" s="140">
        <v>45016</v>
      </c>
      <c r="G7" s="140">
        <v>45382</v>
      </c>
      <c r="H7" s="140">
        <v>45747</v>
      </c>
      <c r="I7" s="141" t="s">
        <v>263</v>
      </c>
      <c r="J7" s="142" t="s">
        <v>264</v>
      </c>
    </row>
    <row r="8" spans="1:12" x14ac:dyDescent="0.3">
      <c r="A8" s="143" t="s">
        <v>265</v>
      </c>
      <c r="B8" s="144">
        <f>'Profit &amp; Loss'!E12</f>
        <v>2627.38</v>
      </c>
      <c r="C8" s="144">
        <f>'Profit &amp; Loss'!F12</f>
        <v>2710.48</v>
      </c>
      <c r="D8" s="144">
        <f>'Profit &amp; Loss'!G12</f>
        <v>2974.14</v>
      </c>
      <c r="E8" s="144">
        <f>'Profit &amp; Loss'!H12</f>
        <v>4124.71</v>
      </c>
      <c r="F8" s="144">
        <f>'Profit &amp; Loss'!I12</f>
        <v>35996.65</v>
      </c>
      <c r="G8" s="144">
        <f>'Profit &amp; Loss'!J12</f>
        <v>40915.85</v>
      </c>
      <c r="H8" s="144">
        <f>'Profit &amp; Loss'!K12</f>
        <v>48320.33</v>
      </c>
      <c r="I8" s="145">
        <f>(H8/F8)^(1/3)-1</f>
        <v>0.10311960245355811</v>
      </c>
      <c r="J8" s="145">
        <f>(H8/B8)^(1/7)-1</f>
        <v>0.51585668426368492</v>
      </c>
    </row>
    <row r="9" spans="1:12" x14ac:dyDescent="0.3">
      <c r="A9" s="146" t="s">
        <v>107</v>
      </c>
      <c r="B9" s="147">
        <v>4.5972591245979598E-3</v>
      </c>
      <c r="C9" s="147">
        <f>(C8/B8)-1</f>
        <v>3.1628466380957398E-2</v>
      </c>
      <c r="D9" s="147">
        <f t="shared" ref="D9:H9" si="0">(D8/C8)-1</f>
        <v>9.7274283521737726E-2</v>
      </c>
      <c r="E9" s="147">
        <f t="shared" si="0"/>
        <v>0.38685804972193649</v>
      </c>
      <c r="F9" s="147">
        <f t="shared" si="0"/>
        <v>7.7270741458187366</v>
      </c>
      <c r="G9" s="147">
        <f t="shared" si="0"/>
        <v>0.13665716115249604</v>
      </c>
      <c r="H9" s="147">
        <f t="shared" si="0"/>
        <v>0.18096849998228071</v>
      </c>
      <c r="I9" s="148"/>
      <c r="J9" s="149"/>
    </row>
    <row r="10" spans="1:12" ht="15" thickBot="1" x14ac:dyDescent="0.35">
      <c r="A10" s="150" t="s">
        <v>50</v>
      </c>
      <c r="B10" s="151">
        <f>'Balance Sheet'!E23</f>
        <v>3.2450010498104169</v>
      </c>
      <c r="C10" s="151">
        <f>'Balance Sheet'!F23</f>
        <v>2.7055288821456731</v>
      </c>
      <c r="D10" s="151">
        <f>'Balance Sheet'!G23</f>
        <v>0.43203848941817002</v>
      </c>
      <c r="E10" s="151">
        <f>'Balance Sheet'!H23</f>
        <v>0.36378461378351135</v>
      </c>
      <c r="F10" s="151">
        <f>'Balance Sheet'!I23</f>
        <v>0.778594320447768</v>
      </c>
      <c r="G10" s="151">
        <f>'Balance Sheet'!J23</f>
        <v>0.49447006273469923</v>
      </c>
      <c r="H10" s="151">
        <f>'Balance Sheet'!K23</f>
        <v>0.37979801203193775</v>
      </c>
      <c r="I10" s="152"/>
      <c r="J10" s="153"/>
    </row>
    <row r="11" spans="1:12" ht="15" thickBot="1" x14ac:dyDescent="0.35">
      <c r="A11" s="154" t="s">
        <v>266</v>
      </c>
      <c r="B11" s="155" t="s">
        <v>267</v>
      </c>
      <c r="C11" s="156"/>
      <c r="D11" s="156"/>
      <c r="E11" s="156"/>
      <c r="F11" s="156"/>
      <c r="G11" s="156"/>
      <c r="H11" s="156"/>
      <c r="I11" s="156"/>
      <c r="J11" s="156"/>
    </row>
    <row r="12" spans="1:12" x14ac:dyDescent="0.3">
      <c r="A12" s="157" t="s">
        <v>281</v>
      </c>
      <c r="B12" s="158">
        <f>((H8/B8)^(1/7)-1)/2</f>
        <v>0.25792834213184246</v>
      </c>
      <c r="C12" s="42"/>
      <c r="D12" s="280"/>
      <c r="E12" s="280"/>
      <c r="F12" s="280"/>
      <c r="G12" s="280"/>
      <c r="H12" s="280"/>
      <c r="I12" s="280"/>
      <c r="J12" s="280"/>
      <c r="K12" s="280"/>
      <c r="L12" s="280"/>
    </row>
    <row r="13" spans="1:12" x14ac:dyDescent="0.3">
      <c r="A13" s="32" t="s">
        <v>268</v>
      </c>
      <c r="B13" s="159">
        <f>H8*(1+B12)^10</f>
        <v>479389.93761364743</v>
      </c>
      <c r="C13" s="160"/>
      <c r="D13" s="160"/>
      <c r="E13" s="160"/>
      <c r="F13" s="160"/>
      <c r="G13" s="160"/>
      <c r="H13" s="160"/>
      <c r="I13" s="160"/>
      <c r="J13" s="160"/>
    </row>
    <row r="14" spans="1:12" x14ac:dyDescent="0.3">
      <c r="A14" s="32" t="s">
        <v>269</v>
      </c>
      <c r="B14" s="161">
        <f>'Profit &amp; Loss'!K14</f>
        <v>10.463928950816355</v>
      </c>
      <c r="C14" s="42"/>
      <c r="D14" s="42"/>
      <c r="E14" s="42"/>
      <c r="F14" s="42"/>
      <c r="G14" s="42"/>
      <c r="H14" s="42"/>
      <c r="I14" s="42"/>
      <c r="J14" s="42"/>
    </row>
    <row r="15" spans="1:12" x14ac:dyDescent="0.3">
      <c r="A15" s="32" t="s">
        <v>270</v>
      </c>
      <c r="B15" s="162">
        <v>25</v>
      </c>
      <c r="C15" s="42"/>
      <c r="D15" s="42"/>
      <c r="E15" s="42"/>
      <c r="F15" s="42"/>
      <c r="G15" s="42"/>
      <c r="H15" s="42"/>
      <c r="I15" s="42"/>
      <c r="J15" s="42"/>
    </row>
    <row r="16" spans="1:12" x14ac:dyDescent="0.3">
      <c r="A16" s="32" t="s">
        <v>271</v>
      </c>
      <c r="B16" s="159">
        <f>B13*B15</f>
        <v>11984748.440341186</v>
      </c>
      <c r="C16" s="66"/>
      <c r="D16" s="42"/>
      <c r="E16" s="42"/>
      <c r="F16" s="42"/>
      <c r="G16" s="42"/>
      <c r="H16" s="42"/>
      <c r="I16" s="42"/>
      <c r="J16" s="42"/>
    </row>
    <row r="17" spans="1:10" x14ac:dyDescent="0.3">
      <c r="A17" s="32" t="s">
        <v>272</v>
      </c>
      <c r="B17" s="163">
        <v>5.5E-2</v>
      </c>
      <c r="C17" s="42"/>
      <c r="D17" s="42"/>
      <c r="E17" s="42"/>
      <c r="F17" s="42"/>
      <c r="H17" s="42"/>
      <c r="I17" s="42"/>
      <c r="J17" s="42"/>
    </row>
    <row r="18" spans="1:10" x14ac:dyDescent="0.3">
      <c r="A18" s="32" t="s">
        <v>273</v>
      </c>
      <c r="B18" s="164">
        <f>B16/(1+B17)^10</f>
        <v>7016238.2237230511</v>
      </c>
      <c r="C18" s="42"/>
      <c r="D18" s="42"/>
      <c r="E18" s="42"/>
      <c r="F18" s="42"/>
      <c r="G18" s="42"/>
      <c r="H18" s="42"/>
      <c r="I18" s="42"/>
      <c r="J18" s="42"/>
    </row>
    <row r="19" spans="1:10" x14ac:dyDescent="0.3">
      <c r="A19" s="32" t="s">
        <v>274</v>
      </c>
      <c r="B19" s="165">
        <f>B18/'Data Sheet'!B6</f>
        <v>11092.870783033333</v>
      </c>
      <c r="C19" s="66"/>
      <c r="D19" s="42"/>
      <c r="E19" s="42"/>
      <c r="F19" s="42"/>
      <c r="H19" s="42"/>
      <c r="I19" s="42"/>
      <c r="J19" s="42"/>
    </row>
    <row r="20" spans="1:10" x14ac:dyDescent="0.3">
      <c r="A20" s="32" t="s">
        <v>275</v>
      </c>
      <c r="B20" s="164">
        <f>'Data Sheet'!B9</f>
        <v>592367.66</v>
      </c>
      <c r="C20" s="42"/>
      <c r="D20" s="42"/>
      <c r="E20" s="42"/>
      <c r="F20" s="42"/>
      <c r="G20" s="42"/>
      <c r="H20" s="42"/>
      <c r="I20" s="42"/>
      <c r="J20" s="42"/>
    </row>
    <row r="21" spans="1:10" ht="15" thickBot="1" x14ac:dyDescent="0.35">
      <c r="A21" s="42"/>
      <c r="B21" s="166" t="s">
        <v>276</v>
      </c>
    </row>
    <row r="22" spans="1:10" x14ac:dyDescent="0.3">
      <c r="A22" s="157" t="s">
        <v>277</v>
      </c>
      <c r="B22" s="167">
        <f>(H8/F8)^(1/3)-1</f>
        <v>0.10311960245355811</v>
      </c>
    </row>
    <row r="23" spans="1:10" x14ac:dyDescent="0.3">
      <c r="A23" s="32" t="s">
        <v>278</v>
      </c>
      <c r="B23" s="161">
        <f>H8*(1+B22)^5</f>
        <v>78930.14524642186</v>
      </c>
    </row>
    <row r="24" spans="1:10" x14ac:dyDescent="0.3">
      <c r="A24" s="32" t="s">
        <v>269</v>
      </c>
      <c r="B24" s="168">
        <f>'Profit &amp; Loss'!K14</f>
        <v>10.463928950816355</v>
      </c>
    </row>
    <row r="25" spans="1:10" x14ac:dyDescent="0.3">
      <c r="A25" s="32" t="s">
        <v>279</v>
      </c>
      <c r="B25" s="162">
        <v>20</v>
      </c>
    </row>
    <row r="26" spans="1:10" x14ac:dyDescent="0.3">
      <c r="A26" s="32" t="s">
        <v>280</v>
      </c>
      <c r="B26" s="159">
        <f>B23*B25</f>
        <v>1578602.9049284372</v>
      </c>
    </row>
    <row r="27" spans="1:10" x14ac:dyDescent="0.3">
      <c r="A27" s="32" t="s">
        <v>272</v>
      </c>
      <c r="B27" s="163">
        <v>5.5E-2</v>
      </c>
    </row>
    <row r="28" spans="1:10" x14ac:dyDescent="0.3">
      <c r="A28" s="32" t="s">
        <v>273</v>
      </c>
      <c r="B28" s="164">
        <f>B26/(1+B27)^5</f>
        <v>1207843.3136338654</v>
      </c>
    </row>
    <row r="29" spans="1:10" x14ac:dyDescent="0.3">
      <c r="A29" s="32" t="s">
        <v>274</v>
      </c>
      <c r="B29" s="165">
        <f>B28/'Data Sheet'!B6</f>
        <v>1909.6343905469057</v>
      </c>
      <c r="C29" s="169"/>
    </row>
    <row r="30" spans="1:10" x14ac:dyDescent="0.3">
      <c r="A30" s="32" t="s">
        <v>275</v>
      </c>
      <c r="B30" s="164">
        <f>'Data Sheet'!B9</f>
        <v>592367.66</v>
      </c>
    </row>
  </sheetData>
  <mergeCells count="3">
    <mergeCell ref="A5:J5"/>
    <mergeCell ref="A6:J6"/>
    <mergeCell ref="D12:L12"/>
  </mergeCells>
  <printOptions horizontalCentered="1"/>
  <pageMargins left="0.25" right="0" top="0.25" bottom="0.25" header="0.05" footer="0.05"/>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C21" activePane="bottomRight" state="frozen"/>
      <selection activeCell="C4" sqref="C4"/>
      <selection pane="topRight" activeCell="C4" sqref="C4"/>
      <selection pane="bottomLeft" activeCell="C4" sqref="C4"/>
      <selection pane="bottomRight" activeCell="K22" sqref="K22"/>
    </sheetView>
  </sheetViews>
  <sheetFormatPr defaultColWidth="8.77734375" defaultRowHeight="14.4" x14ac:dyDescent="0.3"/>
  <cols>
    <col min="1" max="1" width="27.6640625" style="4" bestFit="1" customWidth="1"/>
    <col min="2" max="11" width="13.44140625" style="4" bestFit="1" customWidth="1"/>
    <col min="12" max="16384" width="8.77734375" style="4"/>
  </cols>
  <sheetData>
    <row r="1" spans="1:11" s="1" customFormat="1" x14ac:dyDescent="0.3">
      <c r="A1" s="1" t="s">
        <v>0</v>
      </c>
      <c r="B1" s="1" t="s">
        <v>54</v>
      </c>
      <c r="E1" s="328" t="str">
        <f>IF(B2&lt;&gt;B3, "A NEW VERSION OF THE WORKSHEET IS AVAILABLE", "")</f>
        <v/>
      </c>
      <c r="F1" s="328"/>
      <c r="G1" s="328"/>
      <c r="H1" s="328"/>
      <c r="I1" s="328"/>
      <c r="J1" s="328"/>
      <c r="K1" s="328"/>
    </row>
    <row r="2" spans="1:11" x14ac:dyDescent="0.3">
      <c r="A2" s="1" t="s">
        <v>52</v>
      </c>
      <c r="B2" s="4">
        <v>2.1</v>
      </c>
      <c r="E2" s="329" t="s">
        <v>36</v>
      </c>
      <c r="F2" s="329"/>
      <c r="G2" s="329"/>
      <c r="H2" s="329"/>
      <c r="I2" s="329"/>
      <c r="J2" s="329"/>
      <c r="K2" s="329"/>
    </row>
    <row r="3" spans="1:11" x14ac:dyDescent="0.3">
      <c r="A3" s="1" t="s">
        <v>53</v>
      </c>
      <c r="B3" s="4">
        <v>2.1</v>
      </c>
    </row>
    <row r="4" spans="1:11" x14ac:dyDescent="0.3">
      <c r="A4" s="1"/>
    </row>
    <row r="5" spans="1:11" x14ac:dyDescent="0.3">
      <c r="A5" s="1" t="s">
        <v>55</v>
      </c>
    </row>
    <row r="6" spans="1:11" x14ac:dyDescent="0.3">
      <c r="A6" s="4" t="s">
        <v>42</v>
      </c>
      <c r="B6" s="4">
        <f>IF(B9&gt;0, B9/B8, 0)</f>
        <v>632.49977043403987</v>
      </c>
    </row>
    <row r="7" spans="1:11" x14ac:dyDescent="0.3">
      <c r="A7" s="4" t="s">
        <v>31</v>
      </c>
      <c r="B7">
        <v>10</v>
      </c>
    </row>
    <row r="8" spans="1:11" x14ac:dyDescent="0.3">
      <c r="A8" s="4" t="s">
        <v>43</v>
      </c>
      <c r="B8">
        <v>936.55</v>
      </c>
    </row>
    <row r="9" spans="1:11" x14ac:dyDescent="0.3">
      <c r="A9" s="4" t="s">
        <v>70</v>
      </c>
      <c r="B9">
        <v>592367.66</v>
      </c>
    </row>
    <row r="15" spans="1:11" x14ac:dyDescent="0.3">
      <c r="A15" s="1" t="s">
        <v>37</v>
      </c>
    </row>
    <row r="16" spans="1:11" s="18" customFormat="1" x14ac:dyDescent="0.3">
      <c r="A16" s="17" t="s">
        <v>38</v>
      </c>
      <c r="B16" s="12"/>
      <c r="C16" s="12"/>
      <c r="D16" s="12"/>
      <c r="E16" s="12">
        <v>43555</v>
      </c>
      <c r="F16" s="12">
        <v>43921</v>
      </c>
      <c r="G16" s="12">
        <v>44286</v>
      </c>
      <c r="H16" s="12">
        <v>44651</v>
      </c>
      <c r="I16" s="12">
        <v>45016</v>
      </c>
      <c r="J16" s="12">
        <v>45382</v>
      </c>
      <c r="K16" s="12">
        <v>45747</v>
      </c>
    </row>
    <row r="17" spans="1:11" s="6" customFormat="1" x14ac:dyDescent="0.3">
      <c r="A17" s="6" t="s">
        <v>6</v>
      </c>
      <c r="E17">
        <v>571507.92000000004</v>
      </c>
      <c r="F17">
        <v>628042.79</v>
      </c>
      <c r="G17">
        <v>690913.83</v>
      </c>
      <c r="H17">
        <v>723606.29</v>
      </c>
      <c r="I17">
        <v>784627.65</v>
      </c>
      <c r="J17">
        <v>845966.37</v>
      </c>
      <c r="K17">
        <v>889970.02</v>
      </c>
    </row>
    <row r="18" spans="1:11" s="6" customFormat="1" x14ac:dyDescent="0.3">
      <c r="A18" s="4" t="s">
        <v>71</v>
      </c>
    </row>
    <row r="19" spans="1:11" s="6" customFormat="1" x14ac:dyDescent="0.3">
      <c r="A19" s="4" t="s">
        <v>72</v>
      </c>
      <c r="E19" s="6">
        <v>0</v>
      </c>
    </row>
    <row r="20" spans="1:11" s="6" customFormat="1" x14ac:dyDescent="0.3">
      <c r="A20" s="4" t="s">
        <v>73</v>
      </c>
    </row>
    <row r="21" spans="1:11" s="6" customFormat="1" x14ac:dyDescent="0.3">
      <c r="A21" s="4" t="s">
        <v>74</v>
      </c>
      <c r="E21">
        <v>521872.87</v>
      </c>
      <c r="F21">
        <v>575329.5</v>
      </c>
      <c r="G21">
        <v>634650.07999999996</v>
      </c>
      <c r="H21">
        <v>690934.43</v>
      </c>
      <c r="I21">
        <v>716426.23999999999</v>
      </c>
      <c r="J21">
        <v>765231.59</v>
      </c>
    </row>
    <row r="22" spans="1:11" s="6" customFormat="1" x14ac:dyDescent="0.3">
      <c r="A22" s="4" t="s">
        <v>75</v>
      </c>
      <c r="E22">
        <v>19904.54</v>
      </c>
      <c r="F22">
        <v>25127.9</v>
      </c>
      <c r="G22">
        <v>26787.39</v>
      </c>
      <c r="H22">
        <v>30346.68</v>
      </c>
      <c r="I22">
        <v>40134.870000000003</v>
      </c>
      <c r="J22">
        <v>39624.76</v>
      </c>
      <c r="K22">
        <v>26946.68</v>
      </c>
    </row>
    <row r="23" spans="1:11" s="6" customFormat="1" x14ac:dyDescent="0.3">
      <c r="A23" s="4" t="s">
        <v>76</v>
      </c>
      <c r="E23">
        <v>7934.04</v>
      </c>
      <c r="F23">
        <v>8727.1299999999992</v>
      </c>
      <c r="G23">
        <v>21133.62</v>
      </c>
      <c r="H23">
        <v>8036.22</v>
      </c>
      <c r="I23">
        <v>7516.65</v>
      </c>
      <c r="J23">
        <v>8236.5499999999993</v>
      </c>
      <c r="K23">
        <v>223.34</v>
      </c>
    </row>
    <row r="24" spans="1:11" s="6" customFormat="1" x14ac:dyDescent="0.3">
      <c r="A24" s="4" t="s">
        <v>77</v>
      </c>
      <c r="E24">
        <v>15875.97</v>
      </c>
      <c r="F24">
        <v>25804.79</v>
      </c>
      <c r="G24">
        <v>8594.75</v>
      </c>
      <c r="H24">
        <v>-9037.34</v>
      </c>
      <c r="I24">
        <v>-13657.31</v>
      </c>
      <c r="J24">
        <v>94.77</v>
      </c>
      <c r="K24">
        <v>810100.23</v>
      </c>
    </row>
    <row r="25" spans="1:11" s="6" customFormat="1" x14ac:dyDescent="0.3">
      <c r="A25" s="6" t="s">
        <v>9</v>
      </c>
      <c r="E25">
        <v>2615.04</v>
      </c>
      <c r="F25">
        <v>20869.96</v>
      </c>
      <c r="G25">
        <v>12819.51</v>
      </c>
      <c r="H25">
        <v>9247.76</v>
      </c>
      <c r="I25">
        <v>7799.5</v>
      </c>
      <c r="J25">
        <v>14828.66</v>
      </c>
      <c r="K25">
        <v>3567.21</v>
      </c>
    </row>
    <row r="26" spans="1:11" s="6" customFormat="1" x14ac:dyDescent="0.3">
      <c r="A26" s="6" t="s">
        <v>10</v>
      </c>
      <c r="E26">
        <v>336.41</v>
      </c>
      <c r="F26">
        <v>379.36</v>
      </c>
      <c r="G26">
        <v>416.63</v>
      </c>
      <c r="H26">
        <v>436.19</v>
      </c>
      <c r="I26">
        <v>466.38</v>
      </c>
      <c r="J26">
        <v>465.94</v>
      </c>
    </row>
    <row r="27" spans="1:11" s="6" customFormat="1" x14ac:dyDescent="0.3">
      <c r="A27" s="6" t="s">
        <v>11</v>
      </c>
      <c r="I27">
        <v>77.430000000000007</v>
      </c>
      <c r="J27">
        <v>127.88</v>
      </c>
    </row>
    <row r="28" spans="1:11" s="6" customFormat="1" x14ac:dyDescent="0.3">
      <c r="A28" s="6" t="s">
        <v>12</v>
      </c>
      <c r="E28">
        <v>8199.1299999999992</v>
      </c>
      <c r="F28">
        <v>13544.07</v>
      </c>
      <c r="G28">
        <v>12150.87</v>
      </c>
      <c r="H28">
        <v>12137.87</v>
      </c>
      <c r="I28">
        <v>41462.89</v>
      </c>
      <c r="J28">
        <v>47013.54</v>
      </c>
      <c r="K28">
        <v>56266.98</v>
      </c>
    </row>
    <row r="29" spans="1:11" s="6" customFormat="1" x14ac:dyDescent="0.3">
      <c r="A29" s="6" t="s">
        <v>13</v>
      </c>
      <c r="E29">
        <v>5571.76</v>
      </c>
      <c r="F29">
        <v>10833.6</v>
      </c>
      <c r="G29">
        <v>9176.73</v>
      </c>
      <c r="H29">
        <v>8013.17</v>
      </c>
      <c r="I29">
        <v>5466.25</v>
      </c>
      <c r="J29">
        <v>6097.69</v>
      </c>
      <c r="K29">
        <v>7946.65</v>
      </c>
    </row>
    <row r="30" spans="1:11" s="6" customFormat="1" x14ac:dyDescent="0.3">
      <c r="A30" s="6" t="s">
        <v>14</v>
      </c>
      <c r="E30">
        <v>2627.38</v>
      </c>
      <c r="F30">
        <v>2710.48</v>
      </c>
      <c r="G30">
        <v>2974.14</v>
      </c>
      <c r="H30">
        <v>4124.71</v>
      </c>
      <c r="I30">
        <v>35996.65</v>
      </c>
      <c r="J30">
        <v>40915.85</v>
      </c>
      <c r="K30">
        <v>48320.33</v>
      </c>
    </row>
    <row r="31" spans="1:11" s="6" customFormat="1" x14ac:dyDescent="0.3">
      <c r="A31" s="6" t="s">
        <v>61</v>
      </c>
      <c r="E31">
        <v>42</v>
      </c>
      <c r="F31">
        <v>42.7</v>
      </c>
      <c r="H31">
        <v>948.75</v>
      </c>
      <c r="I31">
        <v>1897.5</v>
      </c>
      <c r="J31">
        <v>6325</v>
      </c>
      <c r="K31">
        <v>7590</v>
      </c>
    </row>
    <row r="32" spans="1:11" s="6" customFormat="1" x14ac:dyDescent="0.3"/>
    <row r="33" spans="1:11" x14ac:dyDescent="0.3">
      <c r="A33" s="6"/>
    </row>
    <row r="34" spans="1:11" x14ac:dyDescent="0.3">
      <c r="A34" s="6"/>
    </row>
    <row r="35" spans="1:11" x14ac:dyDescent="0.3">
      <c r="A35" s="6"/>
    </row>
    <row r="36" spans="1:11" x14ac:dyDescent="0.3">
      <c r="A36" s="6"/>
    </row>
    <row r="37" spans="1:11" x14ac:dyDescent="0.3">
      <c r="A37" s="6"/>
    </row>
    <row r="38" spans="1:11" x14ac:dyDescent="0.3">
      <c r="A38" s="6"/>
    </row>
    <row r="39" spans="1:11" x14ac:dyDescent="0.3">
      <c r="A39" s="6"/>
    </row>
    <row r="40" spans="1:11" x14ac:dyDescent="0.3">
      <c r="A40" s="1" t="s">
        <v>39</v>
      </c>
    </row>
    <row r="41" spans="1:11" s="18" customFormat="1" x14ac:dyDescent="0.3">
      <c r="A41" s="17" t="s">
        <v>38</v>
      </c>
      <c r="B41" s="12">
        <v>44926</v>
      </c>
      <c r="C41" s="12">
        <v>45016</v>
      </c>
      <c r="D41" s="12">
        <v>45107</v>
      </c>
      <c r="E41" s="12">
        <v>45199</v>
      </c>
      <c r="F41" s="12">
        <v>45291</v>
      </c>
      <c r="G41" s="12">
        <v>45382</v>
      </c>
      <c r="H41" s="12">
        <v>45473</v>
      </c>
      <c r="I41" s="12">
        <v>45565</v>
      </c>
      <c r="J41" s="12">
        <v>45657</v>
      </c>
      <c r="K41" s="12">
        <v>45747</v>
      </c>
    </row>
    <row r="42" spans="1:11" s="6" customFormat="1" x14ac:dyDescent="0.3">
      <c r="A42" s="6" t="s">
        <v>6</v>
      </c>
      <c r="B42">
        <v>197714.39</v>
      </c>
      <c r="C42">
        <v>201231.11</v>
      </c>
      <c r="D42">
        <v>190163.06</v>
      </c>
      <c r="E42">
        <v>203032.88</v>
      </c>
      <c r="F42">
        <v>214053.82</v>
      </c>
      <c r="G42">
        <v>238716.59</v>
      </c>
      <c r="H42">
        <v>211952.09</v>
      </c>
      <c r="I42">
        <v>231132.12</v>
      </c>
      <c r="J42">
        <v>203751.32</v>
      </c>
      <c r="K42">
        <v>243134.49</v>
      </c>
    </row>
    <row r="43" spans="1:11" s="6" customFormat="1" x14ac:dyDescent="0.3">
      <c r="A43" s="6" t="s">
        <v>7</v>
      </c>
      <c r="B43">
        <v>194094</v>
      </c>
      <c r="C43">
        <v>189692.39</v>
      </c>
      <c r="D43">
        <v>180169.03</v>
      </c>
      <c r="E43">
        <v>194558.2</v>
      </c>
      <c r="F43">
        <v>204814.94</v>
      </c>
      <c r="G43">
        <v>237152.44</v>
      </c>
      <c r="H43">
        <v>202179.5</v>
      </c>
      <c r="I43">
        <v>224544.06</v>
      </c>
      <c r="J43">
        <v>191817.52</v>
      </c>
      <c r="K43">
        <v>221620.59</v>
      </c>
    </row>
    <row r="44" spans="1:11" s="6" customFormat="1" x14ac:dyDescent="0.3">
      <c r="A44" s="6" t="s">
        <v>9</v>
      </c>
      <c r="B44">
        <v>270.5</v>
      </c>
      <c r="C44">
        <v>612.26</v>
      </c>
      <c r="D44">
        <v>117.19</v>
      </c>
      <c r="E44">
        <v>288.37</v>
      </c>
      <c r="F44">
        <v>206.32</v>
      </c>
      <c r="G44">
        <v>14248.72</v>
      </c>
      <c r="H44">
        <v>1001.06</v>
      </c>
      <c r="I44">
        <v>794.29</v>
      </c>
      <c r="J44">
        <v>818.02</v>
      </c>
      <c r="K44">
        <v>953.84</v>
      </c>
    </row>
    <row r="45" spans="1:11" s="6" customFormat="1" x14ac:dyDescent="0.3">
      <c r="A45" s="6" t="s">
        <v>10</v>
      </c>
    </row>
    <row r="46" spans="1:11" s="6" customFormat="1" x14ac:dyDescent="0.3">
      <c r="A46" s="6" t="s">
        <v>11</v>
      </c>
    </row>
    <row r="47" spans="1:11" s="6" customFormat="1" x14ac:dyDescent="0.3">
      <c r="A47" s="6" t="s">
        <v>12</v>
      </c>
      <c r="B47">
        <v>3890.89</v>
      </c>
      <c r="C47">
        <v>12150.98</v>
      </c>
      <c r="D47">
        <v>10111.219999999999</v>
      </c>
      <c r="E47">
        <v>8763.0499999999993</v>
      </c>
      <c r="F47">
        <v>9445.2000000000007</v>
      </c>
      <c r="G47">
        <v>15812.87</v>
      </c>
      <c r="H47">
        <v>10773.65</v>
      </c>
      <c r="I47">
        <v>7382.35</v>
      </c>
      <c r="J47">
        <v>12751.82</v>
      </c>
      <c r="K47">
        <v>22467.74</v>
      </c>
    </row>
    <row r="48" spans="1:11" s="6" customFormat="1" x14ac:dyDescent="0.3">
      <c r="A48" s="6" t="s">
        <v>13</v>
      </c>
      <c r="B48">
        <v>-2457.83</v>
      </c>
      <c r="C48">
        <v>990.84</v>
      </c>
      <c r="D48">
        <v>1461.4</v>
      </c>
      <c r="E48">
        <v>1181.3</v>
      </c>
      <c r="F48">
        <v>1423.72</v>
      </c>
      <c r="G48">
        <v>1971.28</v>
      </c>
      <c r="H48">
        <v>1629.21</v>
      </c>
      <c r="I48">
        <v>1145.2</v>
      </c>
      <c r="J48">
        <v>1743.17</v>
      </c>
      <c r="K48">
        <v>3429.07</v>
      </c>
    </row>
    <row r="49" spans="1:11" s="6" customFormat="1" x14ac:dyDescent="0.3">
      <c r="A49" s="6" t="s">
        <v>14</v>
      </c>
      <c r="B49">
        <v>7310.77</v>
      </c>
      <c r="C49">
        <v>13190.79</v>
      </c>
      <c r="D49">
        <v>9634.98</v>
      </c>
      <c r="E49">
        <v>8030.28</v>
      </c>
      <c r="F49">
        <v>9468.99</v>
      </c>
      <c r="G49">
        <v>13841.59</v>
      </c>
      <c r="H49">
        <v>10544.33</v>
      </c>
      <c r="I49">
        <v>7728.68</v>
      </c>
      <c r="J49">
        <v>11008.65</v>
      </c>
      <c r="K49">
        <v>19038.669999999998</v>
      </c>
    </row>
    <row r="50" spans="1:11" x14ac:dyDescent="0.3">
      <c r="A50" s="6" t="s">
        <v>8</v>
      </c>
      <c r="B50">
        <v>3620.39</v>
      </c>
      <c r="C50">
        <v>11538.72</v>
      </c>
      <c r="D50">
        <v>9994.0300000000007</v>
      </c>
      <c r="E50">
        <v>8474.68</v>
      </c>
      <c r="F50">
        <v>9238.8799999999992</v>
      </c>
      <c r="G50">
        <v>1564.15</v>
      </c>
      <c r="H50">
        <v>9772.59</v>
      </c>
      <c r="I50">
        <v>6588.06</v>
      </c>
      <c r="J50">
        <v>11933.8</v>
      </c>
      <c r="K50">
        <v>21513.9</v>
      </c>
    </row>
    <row r="51" spans="1:11" x14ac:dyDescent="0.3">
      <c r="A51" s="6"/>
    </row>
    <row r="52" spans="1:11" x14ac:dyDescent="0.3">
      <c r="A52" s="6"/>
    </row>
    <row r="53" spans="1:11" x14ac:dyDescent="0.3">
      <c r="A53" s="6"/>
    </row>
    <row r="54" spans="1:11" x14ac:dyDescent="0.3">
      <c r="A54" s="6"/>
    </row>
    <row r="55" spans="1:11" x14ac:dyDescent="0.3">
      <c r="A55" s="1" t="s">
        <v>40</v>
      </c>
    </row>
    <row r="56" spans="1:11" s="18" customFormat="1" x14ac:dyDescent="0.3">
      <c r="A56" s="17" t="s">
        <v>38</v>
      </c>
      <c r="B56" s="12"/>
      <c r="C56" s="12"/>
      <c r="D56" s="12"/>
      <c r="E56" s="12">
        <v>43555</v>
      </c>
      <c r="F56" s="12">
        <v>43921</v>
      </c>
      <c r="G56" s="12">
        <v>44286</v>
      </c>
      <c r="H56" s="12">
        <v>44651</v>
      </c>
      <c r="I56" s="12">
        <v>45016</v>
      </c>
      <c r="J56" s="12">
        <v>45382</v>
      </c>
      <c r="K56" s="12">
        <v>45747</v>
      </c>
    </row>
    <row r="57" spans="1:11" x14ac:dyDescent="0.3">
      <c r="A57" s="6" t="s">
        <v>24</v>
      </c>
      <c r="E57">
        <v>100</v>
      </c>
      <c r="F57">
        <v>100</v>
      </c>
      <c r="G57">
        <v>100</v>
      </c>
      <c r="H57">
        <v>6325</v>
      </c>
      <c r="I57">
        <v>6325</v>
      </c>
      <c r="J57">
        <v>6325</v>
      </c>
      <c r="K57">
        <v>6325</v>
      </c>
    </row>
    <row r="58" spans="1:11" x14ac:dyDescent="0.3">
      <c r="A58" s="6" t="s">
        <v>25</v>
      </c>
      <c r="E58">
        <v>709.67</v>
      </c>
      <c r="F58">
        <v>901.83</v>
      </c>
      <c r="G58">
        <v>6783.97</v>
      </c>
      <c r="H58">
        <v>5013.33</v>
      </c>
      <c r="I58">
        <v>39907.870000000003</v>
      </c>
      <c r="J58">
        <v>76421.87</v>
      </c>
      <c r="K58">
        <v>120901.39</v>
      </c>
    </row>
    <row r="59" spans="1:11" x14ac:dyDescent="0.3">
      <c r="A59" s="6" t="s">
        <v>62</v>
      </c>
      <c r="E59">
        <v>269400.59999999998</v>
      </c>
      <c r="F59">
        <v>253413.6</v>
      </c>
      <c r="G59">
        <v>3.67</v>
      </c>
      <c r="H59">
        <v>1.29</v>
      </c>
      <c r="K59">
        <v>0.99</v>
      </c>
    </row>
    <row r="60" spans="1:11" x14ac:dyDescent="0.3">
      <c r="A60" s="6" t="s">
        <v>63</v>
      </c>
      <c r="E60">
        <v>3157038.96</v>
      </c>
      <c r="F60">
        <v>3245418.65</v>
      </c>
      <c r="G60">
        <v>3822636.57</v>
      </c>
      <c r="H60">
        <v>4242719.32</v>
      </c>
      <c r="I60">
        <v>4532258.4800000004</v>
      </c>
      <c r="J60">
        <v>5233300.25</v>
      </c>
      <c r="K60">
        <v>5533341.0800000001</v>
      </c>
    </row>
    <row r="61" spans="1:11" s="1" customFormat="1" x14ac:dyDescent="0.3">
      <c r="A61" s="1" t="s">
        <v>26</v>
      </c>
      <c r="E61">
        <v>3427249.23</v>
      </c>
      <c r="F61">
        <v>3499834.08</v>
      </c>
      <c r="G61">
        <v>3829524.21</v>
      </c>
      <c r="H61">
        <v>4254058.9400000004</v>
      </c>
      <c r="I61">
        <v>4578491.3499999996</v>
      </c>
      <c r="J61">
        <v>5316047.12</v>
      </c>
      <c r="K61">
        <v>5660568.46</v>
      </c>
    </row>
    <row r="62" spans="1:11" x14ac:dyDescent="0.3">
      <c r="A62" s="6" t="s">
        <v>27</v>
      </c>
      <c r="E62">
        <v>25193.53</v>
      </c>
      <c r="F62">
        <v>28216.33</v>
      </c>
      <c r="G62">
        <v>17722.509999999998</v>
      </c>
      <c r="H62">
        <v>17769.97</v>
      </c>
      <c r="I62">
        <v>20473.259999999998</v>
      </c>
      <c r="J62">
        <v>20667.27</v>
      </c>
      <c r="K62">
        <v>4483.18</v>
      </c>
    </row>
    <row r="63" spans="1:11" x14ac:dyDescent="0.3">
      <c r="A63" s="6" t="s">
        <v>28</v>
      </c>
      <c r="E63">
        <v>710.31</v>
      </c>
      <c r="F63">
        <v>734.18</v>
      </c>
      <c r="G63">
        <v>148.32</v>
      </c>
      <c r="H63">
        <v>198.75</v>
      </c>
      <c r="I63">
        <v>331.46</v>
      </c>
      <c r="J63">
        <v>402.52</v>
      </c>
    </row>
    <row r="64" spans="1:11" x14ac:dyDescent="0.3">
      <c r="A64" s="6" t="s">
        <v>29</v>
      </c>
      <c r="E64">
        <v>2900286.68</v>
      </c>
      <c r="F64">
        <v>2976099.75</v>
      </c>
      <c r="G64">
        <v>3517445.3</v>
      </c>
      <c r="H64">
        <v>3926212.47</v>
      </c>
      <c r="I64">
        <v>4243008.2699999996</v>
      </c>
      <c r="J64">
        <v>4976133.2699999996</v>
      </c>
      <c r="K64">
        <v>5315602.67</v>
      </c>
    </row>
    <row r="65" spans="1:11" x14ac:dyDescent="0.3">
      <c r="A65" s="6" t="s">
        <v>64</v>
      </c>
      <c r="E65">
        <v>501058.71</v>
      </c>
      <c r="F65">
        <v>494783.82</v>
      </c>
      <c r="G65">
        <v>294208.08</v>
      </c>
      <c r="H65">
        <v>309877.75</v>
      </c>
      <c r="I65">
        <v>314678.36</v>
      </c>
      <c r="J65">
        <v>318844.06</v>
      </c>
      <c r="K65">
        <v>340482.61</v>
      </c>
    </row>
    <row r="66" spans="1:11" s="1" customFormat="1" x14ac:dyDescent="0.3">
      <c r="A66" s="1" t="s">
        <v>26</v>
      </c>
      <c r="E66">
        <v>3427249.23</v>
      </c>
      <c r="F66">
        <v>3499834.08</v>
      </c>
      <c r="G66">
        <v>3829524.21</v>
      </c>
      <c r="H66">
        <v>4254058.9400000004</v>
      </c>
      <c r="I66">
        <v>4578491.3499999996</v>
      </c>
      <c r="J66">
        <v>5316047.12</v>
      </c>
      <c r="K66">
        <v>5660568.46</v>
      </c>
    </row>
    <row r="67" spans="1:11" s="6" customFormat="1" x14ac:dyDescent="0.3">
      <c r="A67" s="6" t="s">
        <v>69</v>
      </c>
    </row>
    <row r="68" spans="1:11" x14ac:dyDescent="0.3">
      <c r="A68" s="6" t="s">
        <v>45</v>
      </c>
    </row>
    <row r="69" spans="1:11" x14ac:dyDescent="0.3">
      <c r="A69" s="4" t="s">
        <v>78</v>
      </c>
      <c r="E69">
        <v>67899.53</v>
      </c>
      <c r="F69">
        <v>63152.63</v>
      </c>
      <c r="G69">
        <v>36078.32</v>
      </c>
      <c r="H69">
        <v>44724.34</v>
      </c>
      <c r="I69">
        <v>45498.6</v>
      </c>
      <c r="J69">
        <v>41824.47</v>
      </c>
      <c r="K69">
        <v>69884.66</v>
      </c>
    </row>
    <row r="70" spans="1:11" x14ac:dyDescent="0.3">
      <c r="A70" s="4" t="s">
        <v>65</v>
      </c>
      <c r="E70">
        <v>100000000</v>
      </c>
      <c r="F70">
        <v>100000000</v>
      </c>
      <c r="G70">
        <v>100000000</v>
      </c>
      <c r="H70">
        <v>6324997700</v>
      </c>
      <c r="I70">
        <v>6324997701</v>
      </c>
      <c r="J70">
        <v>6325000000</v>
      </c>
    </row>
    <row r="71" spans="1:11" x14ac:dyDescent="0.3">
      <c r="A71" s="4" t="s">
        <v>66</v>
      </c>
      <c r="H71">
        <v>6224997701</v>
      </c>
    </row>
    <row r="72" spans="1:11" x14ac:dyDescent="0.3">
      <c r="A72" s="4" t="s">
        <v>79</v>
      </c>
      <c r="E72">
        <v>10</v>
      </c>
      <c r="F72">
        <v>10</v>
      </c>
      <c r="G72">
        <v>10</v>
      </c>
      <c r="H72">
        <v>10</v>
      </c>
      <c r="I72">
        <v>10</v>
      </c>
      <c r="J72">
        <v>10</v>
      </c>
      <c r="K72">
        <v>10</v>
      </c>
    </row>
    <row r="74" spans="1:11" x14ac:dyDescent="0.3">
      <c r="A74" s="6"/>
    </row>
    <row r="75" spans="1:11" x14ac:dyDescent="0.3">
      <c r="A75" s="6"/>
    </row>
    <row r="76" spans="1:11" x14ac:dyDescent="0.3">
      <c r="A76" s="6"/>
    </row>
    <row r="77" spans="1:11" x14ac:dyDescent="0.3">
      <c r="A77" s="6"/>
    </row>
    <row r="78" spans="1:11" x14ac:dyDescent="0.3">
      <c r="A78" s="6"/>
    </row>
    <row r="79" spans="1:11" x14ac:dyDescent="0.3">
      <c r="A79" s="6"/>
    </row>
    <row r="80" spans="1:11" x14ac:dyDescent="0.3">
      <c r="A80" s="1" t="s">
        <v>41</v>
      </c>
    </row>
    <row r="81" spans="1:11" s="18" customFormat="1" x14ac:dyDescent="0.3">
      <c r="A81" s="17" t="s">
        <v>38</v>
      </c>
      <c r="B81" s="12"/>
      <c r="C81" s="12"/>
      <c r="D81" s="12"/>
      <c r="E81" s="12">
        <v>43555</v>
      </c>
      <c r="F81" s="12">
        <v>43921</v>
      </c>
      <c r="G81" s="12">
        <v>44286</v>
      </c>
      <c r="H81" s="12">
        <v>44651</v>
      </c>
      <c r="I81" s="12">
        <v>45016</v>
      </c>
      <c r="J81" s="12">
        <v>45382</v>
      </c>
      <c r="K81" s="12">
        <v>45747</v>
      </c>
    </row>
    <row r="82" spans="1:11" s="1" customFormat="1" x14ac:dyDescent="0.3">
      <c r="A82" s="6" t="s">
        <v>32</v>
      </c>
      <c r="E82">
        <v>13273.81</v>
      </c>
      <c r="F82">
        <v>54366.92</v>
      </c>
      <c r="G82">
        <v>80602.039999999994</v>
      </c>
      <c r="H82">
        <v>-3782.54</v>
      </c>
      <c r="I82">
        <v>54518.51</v>
      </c>
      <c r="J82">
        <v>26121.65</v>
      </c>
      <c r="K82">
        <v>-9144.77</v>
      </c>
    </row>
    <row r="83" spans="1:11" s="6" customFormat="1" x14ac:dyDescent="0.3">
      <c r="A83" s="6" t="s">
        <v>33</v>
      </c>
      <c r="E83">
        <v>9636.27</v>
      </c>
      <c r="F83">
        <v>-40414.800000000003</v>
      </c>
      <c r="G83">
        <v>148446.76999999999</v>
      </c>
      <c r="H83">
        <v>12530.9</v>
      </c>
      <c r="I83">
        <v>-52847.83</v>
      </c>
      <c r="J83">
        <v>-25268.76</v>
      </c>
      <c r="K83">
        <v>40423.43</v>
      </c>
    </row>
    <row r="84" spans="1:11" s="6" customFormat="1" x14ac:dyDescent="0.3">
      <c r="A84" s="6" t="s">
        <v>34</v>
      </c>
      <c r="E84">
        <v>-13699.58</v>
      </c>
      <c r="F84">
        <v>-18663.740000000002</v>
      </c>
      <c r="G84">
        <v>-256125.47</v>
      </c>
      <c r="I84">
        <v>-948.59</v>
      </c>
      <c r="J84">
        <v>-4427.2</v>
      </c>
      <c r="K84">
        <v>-3794.28</v>
      </c>
    </row>
    <row r="85" spans="1:11" s="1" customFormat="1" x14ac:dyDescent="0.3">
      <c r="A85" s="6" t="s">
        <v>35</v>
      </c>
      <c r="E85">
        <v>9210.5</v>
      </c>
      <c r="F85">
        <v>-4711.62</v>
      </c>
      <c r="G85">
        <v>-27076.66</v>
      </c>
      <c r="H85">
        <v>8748.3700000000008</v>
      </c>
      <c r="I85">
        <v>722.09</v>
      </c>
      <c r="J85">
        <v>-3574.31</v>
      </c>
      <c r="K85">
        <v>27484.38</v>
      </c>
    </row>
    <row r="86" spans="1:11" x14ac:dyDescent="0.3">
      <c r="A86" s="6"/>
    </row>
    <row r="87" spans="1:11" x14ac:dyDescent="0.3">
      <c r="A87" s="6"/>
    </row>
    <row r="88" spans="1:11" x14ac:dyDescent="0.3">
      <c r="A88" s="6"/>
    </row>
    <row r="89" spans="1:11" x14ac:dyDescent="0.3">
      <c r="A89" s="6"/>
    </row>
    <row r="90" spans="1:11" s="1" customFormat="1" x14ac:dyDescent="0.3">
      <c r="A90" s="1" t="s">
        <v>68</v>
      </c>
      <c r="I90">
        <v>534.35</v>
      </c>
      <c r="J90">
        <v>916.15</v>
      </c>
      <c r="K90">
        <v>799.4</v>
      </c>
    </row>
    <row r="92" spans="1:11" s="1" customFormat="1" x14ac:dyDescent="0.3">
      <c r="A92" s="1" t="s">
        <v>67</v>
      </c>
    </row>
    <row r="93" spans="1:11" x14ac:dyDescent="0.3">
      <c r="A93" s="4" t="s">
        <v>80</v>
      </c>
      <c r="B93" s="20">
        <f>IF($B7&gt;0,(B70*B72/$B7)+SUM(C71:$K71),0)/10000000</f>
        <v>622.49977009999998</v>
      </c>
      <c r="C93" s="20">
        <f>IF($B7&gt;0,(C70*C72/$B7)+SUM(D71:$K71),0)/10000000</f>
        <v>622.49977009999998</v>
      </c>
      <c r="D93" s="20">
        <f>IF($B7&gt;0,(D70*D72/$B7)+SUM(E71:$K71),0)/10000000</f>
        <v>622.49977009999998</v>
      </c>
      <c r="E93" s="20">
        <f>IF($B7&gt;0,(E70*E72/$B7)+SUM(F71:$K71),0)/10000000</f>
        <v>632.49977009999998</v>
      </c>
      <c r="F93" s="20">
        <f>IF($B7&gt;0,(F70*F72/$B7)+SUM(G71:$K71),0)/10000000</f>
        <v>632.49977009999998</v>
      </c>
      <c r="G93" s="20">
        <f>IF($B7&gt;0,(G70*G72/$B7)+SUM(H71:$K71),0)/10000000</f>
        <v>632.49977009999998</v>
      </c>
      <c r="H93" s="20">
        <v>632.5</v>
      </c>
      <c r="I93" s="20">
        <v>632.5</v>
      </c>
      <c r="J93" s="20">
        <v>632.5</v>
      </c>
      <c r="K93" s="20">
        <v>632.5</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20" workbookViewId="0">
      <pane xSplit="1" ySplit="3" topLeftCell="E7" activePane="bottomRight" state="frozen"/>
      <selection pane="topRight" activeCell="B1" sqref="B1"/>
      <selection pane="bottomLeft" activeCell="A4" sqref="A4"/>
      <selection pane="bottomRight" activeCell="H16" sqref="H16"/>
    </sheetView>
  </sheetViews>
  <sheetFormatPr defaultColWidth="8.77734375" defaultRowHeight="14.4" x14ac:dyDescent="0.3"/>
  <cols>
    <col min="1" max="1" width="20.6640625" customWidth="1"/>
    <col min="2" max="11" width="13.44140625" bestFit="1" customWidth="1"/>
  </cols>
  <sheetData>
    <row r="1" spans="1:11" s="2" customFormat="1" x14ac:dyDescent="0.3">
      <c r="A1" s="2" t="str">
        <f>'Profit &amp; Loss'!A1</f>
        <v>LIFE INSURANCE CORPORATION OF INDIA</v>
      </c>
      <c r="E1" t="str">
        <f>UPDATE</f>
        <v/>
      </c>
      <c r="J1" s="2" t="s">
        <v>1</v>
      </c>
    </row>
    <row r="3" spans="1:11" s="2" customFormat="1" x14ac:dyDescent="0.3">
      <c r="A3" s="11" t="s">
        <v>2</v>
      </c>
      <c r="B3" s="12">
        <f>'Data Sheet'!B41</f>
        <v>44926</v>
      </c>
      <c r="C3" s="12">
        <f>'Data Sheet'!C41</f>
        <v>45016</v>
      </c>
      <c r="D3" s="12">
        <f>'Data Sheet'!D41</f>
        <v>45107</v>
      </c>
      <c r="E3" s="12">
        <f>'Data Sheet'!E41</f>
        <v>45199</v>
      </c>
      <c r="F3" s="12">
        <f>'Data Sheet'!F41</f>
        <v>45291</v>
      </c>
      <c r="G3" s="12">
        <f>'Data Sheet'!G41</f>
        <v>45382</v>
      </c>
      <c r="H3" s="12">
        <f>'Data Sheet'!H41</f>
        <v>45473</v>
      </c>
      <c r="I3" s="12">
        <f>'Data Sheet'!I41</f>
        <v>45565</v>
      </c>
      <c r="J3" s="12">
        <f>'Data Sheet'!J41</f>
        <v>45657</v>
      </c>
      <c r="K3" s="12">
        <f>'Data Sheet'!K41</f>
        <v>45747</v>
      </c>
    </row>
    <row r="4" spans="1:11" s="2" customFormat="1" x14ac:dyDescent="0.3">
      <c r="A4" s="2" t="s">
        <v>6</v>
      </c>
      <c r="B4" s="1">
        <f>'Data Sheet'!B42</f>
        <v>197714.39</v>
      </c>
      <c r="C4" s="1">
        <f>'Data Sheet'!C42</f>
        <v>201231.11</v>
      </c>
      <c r="D4" s="1">
        <f>'Data Sheet'!D42</f>
        <v>190163.06</v>
      </c>
      <c r="E4" s="1">
        <f>'Data Sheet'!E42</f>
        <v>203032.88</v>
      </c>
      <c r="F4" s="1">
        <f>'Data Sheet'!F42</f>
        <v>214053.82</v>
      </c>
      <c r="G4" s="1">
        <f>'Data Sheet'!G42</f>
        <v>238716.59</v>
      </c>
      <c r="H4" s="1">
        <f>'Data Sheet'!H42</f>
        <v>211952.09</v>
      </c>
      <c r="I4" s="1">
        <f>'Data Sheet'!I42</f>
        <v>231132.12</v>
      </c>
      <c r="J4" s="1">
        <f>'Data Sheet'!J42</f>
        <v>203751.32</v>
      </c>
      <c r="K4" s="1">
        <f>'Data Sheet'!K42</f>
        <v>243134.49</v>
      </c>
    </row>
    <row r="5" spans="1:11" x14ac:dyDescent="0.3">
      <c r="A5" t="s">
        <v>7</v>
      </c>
      <c r="B5" s="6">
        <f>'Data Sheet'!B43</f>
        <v>194094</v>
      </c>
      <c r="C5" s="6">
        <f>'Data Sheet'!C43</f>
        <v>189692.39</v>
      </c>
      <c r="D5" s="6">
        <f>'Data Sheet'!D43</f>
        <v>180169.03</v>
      </c>
      <c r="E5" s="6">
        <f>'Data Sheet'!E43</f>
        <v>194558.2</v>
      </c>
      <c r="F5" s="6">
        <f>'Data Sheet'!F43</f>
        <v>204814.94</v>
      </c>
      <c r="G5" s="6">
        <f>'Data Sheet'!G43</f>
        <v>237152.44</v>
      </c>
      <c r="H5" s="6">
        <f>'Data Sheet'!H43</f>
        <v>202179.5</v>
      </c>
      <c r="I5" s="6">
        <f>'Data Sheet'!I43</f>
        <v>224544.06</v>
      </c>
      <c r="J5" s="6">
        <f>'Data Sheet'!J43</f>
        <v>191817.52</v>
      </c>
      <c r="K5" s="6">
        <f>'Data Sheet'!K43</f>
        <v>221620.59</v>
      </c>
    </row>
    <row r="6" spans="1:11" s="2" customFormat="1" x14ac:dyDescent="0.3">
      <c r="A6" s="2" t="s">
        <v>8</v>
      </c>
      <c r="B6" s="1">
        <f>'Data Sheet'!B50</f>
        <v>3620.39</v>
      </c>
      <c r="C6" s="1">
        <f>'Data Sheet'!C50</f>
        <v>11538.72</v>
      </c>
      <c r="D6" s="1">
        <f>'Data Sheet'!D50</f>
        <v>9994.0300000000007</v>
      </c>
      <c r="E6" s="1">
        <f>'Data Sheet'!E50</f>
        <v>8474.68</v>
      </c>
      <c r="F6" s="1">
        <f>'Data Sheet'!F50</f>
        <v>9238.8799999999992</v>
      </c>
      <c r="G6" s="1">
        <f>'Data Sheet'!G50</f>
        <v>1564.15</v>
      </c>
      <c r="H6" s="1">
        <f>'Data Sheet'!H50</f>
        <v>9772.59</v>
      </c>
      <c r="I6" s="1">
        <f>'Data Sheet'!I50</f>
        <v>6588.06</v>
      </c>
      <c r="J6" s="1">
        <f>'Data Sheet'!J50</f>
        <v>11933.8</v>
      </c>
      <c r="K6" s="1">
        <f>'Data Sheet'!K50</f>
        <v>21513.9</v>
      </c>
    </row>
    <row r="7" spans="1:11" x14ac:dyDescent="0.3">
      <c r="A7" t="s">
        <v>9</v>
      </c>
      <c r="B7" s="6">
        <f>'Data Sheet'!B44</f>
        <v>270.5</v>
      </c>
      <c r="C7" s="6">
        <f>'Data Sheet'!C44</f>
        <v>612.26</v>
      </c>
      <c r="D7" s="6">
        <f>'Data Sheet'!D44</f>
        <v>117.19</v>
      </c>
      <c r="E7" s="6">
        <f>'Data Sheet'!E44</f>
        <v>288.37</v>
      </c>
      <c r="F7" s="6">
        <f>'Data Sheet'!F44</f>
        <v>206.32</v>
      </c>
      <c r="G7" s="6">
        <f>'Data Sheet'!G44</f>
        <v>14248.72</v>
      </c>
      <c r="H7" s="6">
        <f>'Data Sheet'!H44</f>
        <v>1001.06</v>
      </c>
      <c r="I7" s="6">
        <f>'Data Sheet'!I44</f>
        <v>794.29</v>
      </c>
      <c r="J7" s="6">
        <f>'Data Sheet'!J44</f>
        <v>818.02</v>
      </c>
      <c r="K7" s="6">
        <f>'Data Sheet'!K44</f>
        <v>953.84</v>
      </c>
    </row>
    <row r="8" spans="1:11" x14ac:dyDescent="0.3">
      <c r="A8" t="s">
        <v>10</v>
      </c>
      <c r="B8" s="6">
        <f>'Data Sheet'!B45</f>
        <v>0</v>
      </c>
      <c r="C8" s="6">
        <f>'Data Sheet'!C45</f>
        <v>0</v>
      </c>
      <c r="D8" s="6">
        <f>'Data Sheet'!D45</f>
        <v>0</v>
      </c>
      <c r="E8" s="6">
        <f>'Data Sheet'!E45</f>
        <v>0</v>
      </c>
      <c r="F8" s="6">
        <f>'Data Sheet'!F45</f>
        <v>0</v>
      </c>
      <c r="G8" s="6">
        <f>'Data Sheet'!G45</f>
        <v>0</v>
      </c>
      <c r="H8" s="6">
        <f>'Data Sheet'!H45</f>
        <v>0</v>
      </c>
      <c r="I8" s="6">
        <f>'Data Sheet'!I45</f>
        <v>0</v>
      </c>
      <c r="J8" s="6">
        <f>'Data Sheet'!J45</f>
        <v>0</v>
      </c>
      <c r="K8" s="6">
        <f>'Data Sheet'!K45</f>
        <v>0</v>
      </c>
    </row>
    <row r="9" spans="1:11" x14ac:dyDescent="0.3">
      <c r="A9" t="s">
        <v>11</v>
      </c>
      <c r="B9" s="6">
        <f>'Data Sheet'!B46</f>
        <v>0</v>
      </c>
      <c r="C9" s="6">
        <f>'Data Sheet'!C46</f>
        <v>0</v>
      </c>
      <c r="D9" s="6">
        <f>'Data Sheet'!D46</f>
        <v>0</v>
      </c>
      <c r="E9" s="6">
        <f>'Data Sheet'!E46</f>
        <v>0</v>
      </c>
      <c r="F9" s="6">
        <f>'Data Sheet'!F46</f>
        <v>0</v>
      </c>
      <c r="G9" s="6">
        <f>'Data Sheet'!G46</f>
        <v>0</v>
      </c>
      <c r="H9" s="6">
        <f>'Data Sheet'!H46</f>
        <v>0</v>
      </c>
      <c r="I9" s="6">
        <f>'Data Sheet'!I46</f>
        <v>0</v>
      </c>
      <c r="J9" s="6">
        <f>'Data Sheet'!J46</f>
        <v>0</v>
      </c>
      <c r="K9" s="6">
        <f>'Data Sheet'!K46</f>
        <v>0</v>
      </c>
    </row>
    <row r="10" spans="1:11" x14ac:dyDescent="0.3">
      <c r="A10" t="s">
        <v>12</v>
      </c>
      <c r="B10" s="6">
        <f>'Data Sheet'!B47</f>
        <v>3890.89</v>
      </c>
      <c r="C10" s="6">
        <f>'Data Sheet'!C47</f>
        <v>12150.98</v>
      </c>
      <c r="D10" s="6">
        <f>'Data Sheet'!D47</f>
        <v>10111.219999999999</v>
      </c>
      <c r="E10" s="6">
        <f>'Data Sheet'!E47</f>
        <v>8763.0499999999993</v>
      </c>
      <c r="F10" s="6">
        <f>'Data Sheet'!F47</f>
        <v>9445.2000000000007</v>
      </c>
      <c r="G10" s="6">
        <f>'Data Sheet'!G47</f>
        <v>15812.87</v>
      </c>
      <c r="H10" s="6">
        <f>'Data Sheet'!H47</f>
        <v>10773.65</v>
      </c>
      <c r="I10" s="6">
        <f>'Data Sheet'!I47</f>
        <v>7382.35</v>
      </c>
      <c r="J10" s="6">
        <f>'Data Sheet'!J47</f>
        <v>12751.82</v>
      </c>
      <c r="K10" s="6">
        <f>'Data Sheet'!K47</f>
        <v>22467.74</v>
      </c>
    </row>
    <row r="11" spans="1:11" x14ac:dyDescent="0.3">
      <c r="A11" t="s">
        <v>13</v>
      </c>
      <c r="B11" s="6">
        <f>'Data Sheet'!B48</f>
        <v>-2457.83</v>
      </c>
      <c r="C11" s="6">
        <f>'Data Sheet'!C48</f>
        <v>990.84</v>
      </c>
      <c r="D11" s="6">
        <f>'Data Sheet'!D48</f>
        <v>1461.4</v>
      </c>
      <c r="E11" s="6">
        <f>'Data Sheet'!E48</f>
        <v>1181.3</v>
      </c>
      <c r="F11" s="6">
        <f>'Data Sheet'!F48</f>
        <v>1423.72</v>
      </c>
      <c r="G11" s="6">
        <f>'Data Sheet'!G48</f>
        <v>1971.28</v>
      </c>
      <c r="H11" s="6">
        <f>'Data Sheet'!H48</f>
        <v>1629.21</v>
      </c>
      <c r="I11" s="6">
        <f>'Data Sheet'!I48</f>
        <v>1145.2</v>
      </c>
      <c r="J11" s="6">
        <f>'Data Sheet'!J48</f>
        <v>1743.17</v>
      </c>
      <c r="K11" s="6">
        <f>'Data Sheet'!K48</f>
        <v>3429.07</v>
      </c>
    </row>
    <row r="12" spans="1:11" s="2" customFormat="1" x14ac:dyDescent="0.3">
      <c r="A12" s="2" t="s">
        <v>14</v>
      </c>
      <c r="B12" s="1">
        <f>'Data Sheet'!B49</f>
        <v>7310.77</v>
      </c>
      <c r="C12" s="1">
        <f>'Data Sheet'!C49</f>
        <v>13190.79</v>
      </c>
      <c r="D12" s="1">
        <f>'Data Sheet'!D49</f>
        <v>9634.98</v>
      </c>
      <c r="E12" s="1">
        <f>'Data Sheet'!E49</f>
        <v>8030.28</v>
      </c>
      <c r="F12" s="1">
        <f>'Data Sheet'!F49</f>
        <v>9468.99</v>
      </c>
      <c r="G12" s="1">
        <f>'Data Sheet'!G49</f>
        <v>13841.59</v>
      </c>
      <c r="H12" s="1">
        <f>'Data Sheet'!H49</f>
        <v>10544.33</v>
      </c>
      <c r="I12" s="1">
        <f>'Data Sheet'!I49</f>
        <v>7728.68</v>
      </c>
      <c r="J12" s="1">
        <f>'Data Sheet'!J49</f>
        <v>11008.65</v>
      </c>
      <c r="K12" s="1">
        <f>'Data Sheet'!K49</f>
        <v>19038.669999999998</v>
      </c>
    </row>
    <row r="14" spans="1:11" s="2" customFormat="1" x14ac:dyDescent="0.3">
      <c r="A14" s="2" t="s">
        <v>18</v>
      </c>
      <c r="B14" s="10">
        <f>IF(B4&gt;0,B6/B4,"")</f>
        <v>1.8311211439895697E-2</v>
      </c>
      <c r="C14" s="10">
        <f t="shared" ref="C14:K14" si="0">IF(C4&gt;0,C6/C4,"")</f>
        <v>5.7340636842881799E-2</v>
      </c>
      <c r="D14" s="10">
        <f t="shared" si="0"/>
        <v>5.2555054593673454E-2</v>
      </c>
      <c r="E14" s="10">
        <f t="shared" si="0"/>
        <v>4.17404314020468E-2</v>
      </c>
      <c r="F14" s="10">
        <f t="shared" si="0"/>
        <v>4.3161481537680568E-2</v>
      </c>
      <c r="G14" s="10">
        <f t="shared" si="0"/>
        <v>6.5523305271745049E-3</v>
      </c>
      <c r="H14" s="10">
        <f t="shared" si="0"/>
        <v>4.6107542511140139E-2</v>
      </c>
      <c r="I14" s="10">
        <f t="shared" si="0"/>
        <v>2.8503437774031581E-2</v>
      </c>
      <c r="J14" s="10">
        <f t="shared" si="0"/>
        <v>5.8570418095941656E-2</v>
      </c>
      <c r="K14" s="10">
        <f t="shared" si="0"/>
        <v>8.8485594947882551E-2</v>
      </c>
    </row>
    <row r="22" s="19"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50" zoomScaleNormal="120" zoomScaleSheetLayoutView="100" zoomScalePageLayoutView="120" workbookViewId="0">
      <pane xSplit="1" ySplit="4" topLeftCell="B5" activePane="bottomRight" state="frozen"/>
      <selection activeCell="I2" sqref="I2"/>
      <selection pane="topRight" activeCell="I2" sqref="I2"/>
      <selection pane="bottomLeft" activeCell="I2" sqref="I2"/>
      <selection pane="bottomRight" activeCell="K14" sqref="K14"/>
    </sheetView>
  </sheetViews>
  <sheetFormatPr defaultColWidth="8.77734375" defaultRowHeight="14.4" x14ac:dyDescent="0.3"/>
  <cols>
    <col min="1" max="1" width="20.6640625" customWidth="1"/>
    <col min="2" max="6" width="13.44140625" customWidth="1"/>
    <col min="7" max="7" width="14.77734375" bestFit="1" customWidth="1"/>
    <col min="8" max="11" width="13.44140625" customWidth="1"/>
    <col min="12" max="12" width="13.33203125" customWidth="1"/>
    <col min="13" max="14" width="12.109375" customWidth="1"/>
  </cols>
  <sheetData>
    <row r="1" spans="1:14" s="2" customFormat="1" x14ac:dyDescent="0.3">
      <c r="A1" s="2" t="str">
        <f>'Data Sheet'!B1</f>
        <v>LIFE INSURANCE CORPORATION OF INDIA</v>
      </c>
      <c r="H1" t="str">
        <f>UPDATE</f>
        <v/>
      </c>
      <c r="J1" s="3"/>
      <c r="K1" s="3"/>
      <c r="M1" s="2" t="s">
        <v>1</v>
      </c>
    </row>
    <row r="3" spans="1:14" s="2" customFormat="1" x14ac:dyDescent="0.3">
      <c r="A3" s="11" t="s">
        <v>2</v>
      </c>
      <c r="B3" s="12">
        <f>'Data Sheet'!B16</f>
        <v>0</v>
      </c>
      <c r="C3" s="12">
        <f>'Data Sheet'!C16</f>
        <v>0</v>
      </c>
      <c r="D3" s="12">
        <f>'Data Sheet'!D16</f>
        <v>0</v>
      </c>
      <c r="E3" s="12">
        <f>'Data Sheet'!E16</f>
        <v>43555</v>
      </c>
      <c r="F3" s="12">
        <f>'Data Sheet'!F16</f>
        <v>43921</v>
      </c>
      <c r="G3" s="12">
        <f>'Data Sheet'!G16</f>
        <v>44286</v>
      </c>
      <c r="H3" s="12">
        <f>'Data Sheet'!H16</f>
        <v>44651</v>
      </c>
      <c r="I3" s="12">
        <f>'Data Sheet'!I16</f>
        <v>45016</v>
      </c>
      <c r="J3" s="12">
        <f>'Data Sheet'!J16</f>
        <v>45382</v>
      </c>
      <c r="K3" s="12">
        <f>'Data Sheet'!K16</f>
        <v>45747</v>
      </c>
      <c r="L3" s="13" t="s">
        <v>3</v>
      </c>
      <c r="M3" s="13" t="s">
        <v>4</v>
      </c>
      <c r="N3" s="13" t="s">
        <v>5</v>
      </c>
    </row>
    <row r="4" spans="1:14" s="2" customFormat="1" x14ac:dyDescent="0.3">
      <c r="A4" s="2" t="s">
        <v>6</v>
      </c>
      <c r="B4" s="1">
        <f>'Data Sheet'!B17</f>
        <v>0</v>
      </c>
      <c r="C4" s="1">
        <f>'Data Sheet'!C17</f>
        <v>0</v>
      </c>
      <c r="D4" s="1">
        <f>'Data Sheet'!D17</f>
        <v>0</v>
      </c>
      <c r="E4" s="1">
        <f>'Data Sheet'!E17</f>
        <v>571507.92000000004</v>
      </c>
      <c r="F4" s="1">
        <f>'Data Sheet'!F17</f>
        <v>628042.79</v>
      </c>
      <c r="G4" s="1">
        <f>'Data Sheet'!G17</f>
        <v>690913.83</v>
      </c>
      <c r="H4" s="1">
        <f>'Data Sheet'!H17</f>
        <v>723606.29</v>
      </c>
      <c r="I4" s="1">
        <f>'Data Sheet'!I17</f>
        <v>784627.65</v>
      </c>
      <c r="J4" s="1">
        <f>'Data Sheet'!J17</f>
        <v>845966.37</v>
      </c>
      <c r="K4" s="1">
        <f>'Data Sheet'!K17</f>
        <v>889970.02</v>
      </c>
      <c r="L4" s="1">
        <f>SUM(Quarters!H4:K4)</f>
        <v>889970.02</v>
      </c>
      <c r="M4" s="1">
        <f>$K4+M23*K4</f>
        <v>953527.13884269272</v>
      </c>
      <c r="N4" s="1">
        <f>$K4+N23*L4</f>
        <v>936262.55674773501</v>
      </c>
    </row>
    <row r="5" spans="1:14" x14ac:dyDescent="0.3">
      <c r="A5" t="s">
        <v>7</v>
      </c>
      <c r="B5" s="6">
        <f>SUM('Data Sheet'!B18,'Data Sheet'!B20:B24, -1*'Data Sheet'!B19)</f>
        <v>0</v>
      </c>
      <c r="C5" s="6">
        <f>SUM('Data Sheet'!C18,'Data Sheet'!C20:C24, -1*'Data Sheet'!C19)</f>
        <v>0</v>
      </c>
      <c r="D5" s="6">
        <f>SUM('Data Sheet'!D18,'Data Sheet'!D20:D24, -1*'Data Sheet'!D19)</f>
        <v>0</v>
      </c>
      <c r="E5" s="6">
        <f>SUM('Data Sheet'!E18,'Data Sheet'!E20:E24, -1*'Data Sheet'!E19)</f>
        <v>565587.42000000004</v>
      </c>
      <c r="F5" s="6">
        <f>SUM('Data Sheet'!F18,'Data Sheet'!F20:F24, -1*'Data Sheet'!F19)</f>
        <v>634989.32000000007</v>
      </c>
      <c r="G5" s="6">
        <f>SUM('Data Sheet'!G18,'Data Sheet'!G20:G24, -1*'Data Sheet'!G19)</f>
        <v>691165.84</v>
      </c>
      <c r="H5" s="6">
        <f>SUM('Data Sheet'!H18,'Data Sheet'!H20:H24, -1*'Data Sheet'!H19)</f>
        <v>720279.99000000011</v>
      </c>
      <c r="I5" s="6">
        <f>SUM('Data Sheet'!I18,'Data Sheet'!I20:I24, -1*'Data Sheet'!I19)</f>
        <v>750420.45</v>
      </c>
      <c r="J5" s="6">
        <f>SUM('Data Sheet'!J18,'Data Sheet'!J20:J24, -1*'Data Sheet'!J19)</f>
        <v>813187.67</v>
      </c>
      <c r="K5" s="6">
        <f>SUM('Data Sheet'!K18,'Data Sheet'!K20:K24, -1*'Data Sheet'!K19)</f>
        <v>837270.25</v>
      </c>
      <c r="L5" s="6">
        <f>SUM(Quarters!H5:K5)</f>
        <v>840161.66999999993</v>
      </c>
      <c r="M5" s="6">
        <f t="shared" ref="M5:N5" si="0">M4-M6</f>
        <v>900161.73057200131</v>
      </c>
      <c r="N5" s="6">
        <f t="shared" si="0"/>
        <v>912752.67784372624</v>
      </c>
    </row>
    <row r="6" spans="1:14" s="2" customFormat="1" x14ac:dyDescent="0.3">
      <c r="A6" s="2" t="s">
        <v>8</v>
      </c>
      <c r="B6" s="1">
        <f>B4-B5</f>
        <v>0</v>
      </c>
      <c r="C6" s="1">
        <f t="shared" ref="C6:K6" si="1">C4-C5</f>
        <v>0</v>
      </c>
      <c r="D6" s="1">
        <f t="shared" si="1"/>
        <v>0</v>
      </c>
      <c r="E6" s="1">
        <f t="shared" si="1"/>
        <v>5920.5</v>
      </c>
      <c r="F6" s="1">
        <f t="shared" si="1"/>
        <v>-6946.5300000000279</v>
      </c>
      <c r="G6" s="1">
        <f t="shared" si="1"/>
        <v>-252.01000000000931</v>
      </c>
      <c r="H6" s="1">
        <f t="shared" si="1"/>
        <v>3326.2999999999302</v>
      </c>
      <c r="I6" s="1">
        <f t="shared" si="1"/>
        <v>34207.20000000007</v>
      </c>
      <c r="J6" s="1">
        <f t="shared" si="1"/>
        <v>32778.699999999953</v>
      </c>
      <c r="K6" s="1">
        <f t="shared" si="1"/>
        <v>52699.770000000019</v>
      </c>
      <c r="L6" s="1">
        <f>SUM(Quarters!H6:K6)</f>
        <v>49808.350000000006</v>
      </c>
      <c r="M6" s="1">
        <f>M4*M24</f>
        <v>53365.408270691456</v>
      </c>
      <c r="N6" s="1">
        <f>N4*N24</f>
        <v>23509.878904008736</v>
      </c>
    </row>
    <row r="7" spans="1:14" x14ac:dyDescent="0.3">
      <c r="A7" t="s">
        <v>9</v>
      </c>
      <c r="B7" s="6">
        <f>'Data Sheet'!B25</f>
        <v>0</v>
      </c>
      <c r="C7" s="6">
        <f>'Data Sheet'!C25</f>
        <v>0</v>
      </c>
      <c r="D7" s="6">
        <f>'Data Sheet'!D25</f>
        <v>0</v>
      </c>
      <c r="E7" s="6">
        <f>'Data Sheet'!E25</f>
        <v>2615.04</v>
      </c>
      <c r="F7" s="6">
        <f>'Data Sheet'!F25</f>
        <v>20869.96</v>
      </c>
      <c r="G7" s="6">
        <f>'Data Sheet'!G25</f>
        <v>12819.51</v>
      </c>
      <c r="H7" s="6">
        <f>'Data Sheet'!H25</f>
        <v>9247.76</v>
      </c>
      <c r="I7" s="6">
        <f>'Data Sheet'!I25</f>
        <v>7799.5</v>
      </c>
      <c r="J7" s="6">
        <f>'Data Sheet'!J25</f>
        <v>14828.66</v>
      </c>
      <c r="K7" s="6">
        <f>'Data Sheet'!K25</f>
        <v>3567.21</v>
      </c>
      <c r="L7" s="6">
        <f>SUM(Quarters!H7:K7)</f>
        <v>3567.21</v>
      </c>
      <c r="M7" s="6">
        <v>0</v>
      </c>
      <c r="N7" s="6">
        <v>0</v>
      </c>
    </row>
    <row r="8" spans="1:14" x14ac:dyDescent="0.3">
      <c r="A8" t="s">
        <v>10</v>
      </c>
      <c r="B8" s="6">
        <f>'Data Sheet'!B26</f>
        <v>0</v>
      </c>
      <c r="C8" s="6">
        <f>'Data Sheet'!C26</f>
        <v>0</v>
      </c>
      <c r="D8" s="6">
        <f>'Data Sheet'!D26</f>
        <v>0</v>
      </c>
      <c r="E8" s="6">
        <f>'Data Sheet'!E26</f>
        <v>336.41</v>
      </c>
      <c r="F8" s="6">
        <f>'Data Sheet'!F26</f>
        <v>379.36</v>
      </c>
      <c r="G8" s="6">
        <f>'Data Sheet'!G26</f>
        <v>416.63</v>
      </c>
      <c r="H8" s="6">
        <f>'Data Sheet'!H26</f>
        <v>436.19</v>
      </c>
      <c r="I8" s="6">
        <f>'Data Sheet'!I26</f>
        <v>466.38</v>
      </c>
      <c r="J8" s="6">
        <f>'Data Sheet'!J26</f>
        <v>465.94</v>
      </c>
      <c r="K8" s="6">
        <f>'Data Sheet'!K26</f>
        <v>0</v>
      </c>
      <c r="L8" s="6">
        <f>SUM(Quarters!H8:K8)</f>
        <v>0</v>
      </c>
      <c r="M8" s="6">
        <f>+$L8</f>
        <v>0</v>
      </c>
      <c r="N8" s="6">
        <f>+$L8</f>
        <v>0</v>
      </c>
    </row>
    <row r="9" spans="1:14" x14ac:dyDescent="0.3">
      <c r="A9" t="s">
        <v>11</v>
      </c>
      <c r="B9" s="6">
        <f>'Data Sheet'!B27</f>
        <v>0</v>
      </c>
      <c r="C9" s="6">
        <f>'Data Sheet'!C27</f>
        <v>0</v>
      </c>
      <c r="D9" s="6">
        <f>'Data Sheet'!D27</f>
        <v>0</v>
      </c>
      <c r="E9" s="6">
        <f>'Data Sheet'!E27</f>
        <v>0</v>
      </c>
      <c r="F9" s="6">
        <f>'Data Sheet'!F27</f>
        <v>0</v>
      </c>
      <c r="G9" s="6">
        <f>'Data Sheet'!G27</f>
        <v>0</v>
      </c>
      <c r="H9" s="6">
        <f>'Data Sheet'!H27</f>
        <v>0</v>
      </c>
      <c r="I9" s="6">
        <f>'Data Sheet'!I27</f>
        <v>77.430000000000007</v>
      </c>
      <c r="J9" s="6">
        <f>'Data Sheet'!J27</f>
        <v>127.88</v>
      </c>
      <c r="K9" s="6">
        <f>'Data Sheet'!K27</f>
        <v>0</v>
      </c>
      <c r="L9" s="6">
        <f>SUM(Quarters!H9:K9)</f>
        <v>0</v>
      </c>
      <c r="M9" s="6">
        <f>+$L9</f>
        <v>0</v>
      </c>
      <c r="N9" s="6">
        <f>+$L9</f>
        <v>0</v>
      </c>
    </row>
    <row r="10" spans="1:14" x14ac:dyDescent="0.3">
      <c r="A10" t="s">
        <v>12</v>
      </c>
      <c r="B10" s="6">
        <f>'Data Sheet'!B28</f>
        <v>0</v>
      </c>
      <c r="C10" s="6">
        <f>'Data Sheet'!C28</f>
        <v>0</v>
      </c>
      <c r="D10" s="6">
        <f>'Data Sheet'!D28</f>
        <v>0</v>
      </c>
      <c r="E10" s="6">
        <f>'Data Sheet'!E28</f>
        <v>8199.1299999999992</v>
      </c>
      <c r="F10" s="6">
        <f>'Data Sheet'!F28</f>
        <v>13544.07</v>
      </c>
      <c r="G10" s="6">
        <f>'Data Sheet'!G28</f>
        <v>12150.87</v>
      </c>
      <c r="H10" s="6">
        <f>'Data Sheet'!H28</f>
        <v>12137.87</v>
      </c>
      <c r="I10" s="6">
        <f>'Data Sheet'!I28</f>
        <v>41462.89</v>
      </c>
      <c r="J10" s="6">
        <f>'Data Sheet'!J28</f>
        <v>47013.54</v>
      </c>
      <c r="K10" s="6">
        <f>'Data Sheet'!K28</f>
        <v>56266.98</v>
      </c>
      <c r="L10" s="6">
        <f>SUM(Quarters!H10:K10)</f>
        <v>53375.56</v>
      </c>
      <c r="M10" s="6">
        <f>M6+M7-SUM(M8:M9)</f>
        <v>53365.408270691456</v>
      </c>
      <c r="N10" s="6">
        <f>N6+N7-SUM(N8:N9)</f>
        <v>23509.878904008736</v>
      </c>
    </row>
    <row r="11" spans="1:14" x14ac:dyDescent="0.3">
      <c r="A11" t="s">
        <v>13</v>
      </c>
      <c r="B11" s="6">
        <f>'Data Sheet'!B29</f>
        <v>0</v>
      </c>
      <c r="C11" s="6">
        <f>'Data Sheet'!C29</f>
        <v>0</v>
      </c>
      <c r="D11" s="6">
        <f>'Data Sheet'!D29</f>
        <v>0</v>
      </c>
      <c r="E11" s="6">
        <f>'Data Sheet'!E29</f>
        <v>5571.76</v>
      </c>
      <c r="F11" s="6">
        <f>'Data Sheet'!F29</f>
        <v>10833.6</v>
      </c>
      <c r="G11" s="6">
        <f>'Data Sheet'!G29</f>
        <v>9176.73</v>
      </c>
      <c r="H11" s="6">
        <f>'Data Sheet'!H29</f>
        <v>8013.17</v>
      </c>
      <c r="I11" s="6">
        <f>'Data Sheet'!I29</f>
        <v>5466.25</v>
      </c>
      <c r="J11" s="6">
        <f>'Data Sheet'!J29</f>
        <v>6097.69</v>
      </c>
      <c r="K11" s="6">
        <f>'Data Sheet'!K29</f>
        <v>7946.65</v>
      </c>
      <c r="L11" s="6">
        <f>SUM(Quarters!H11:K11)</f>
        <v>7946.65</v>
      </c>
      <c r="M11" s="7">
        <f>IF($L10&gt;0,$L11/$L10,0)</f>
        <v>0.14888181032667386</v>
      </c>
      <c r="N11" s="7">
        <f>IF($L10&gt;0,$L11/$L10,0)</f>
        <v>0.14888181032667386</v>
      </c>
    </row>
    <row r="12" spans="1:14" s="2" customFormat="1" x14ac:dyDescent="0.3">
      <c r="A12" s="2" t="s">
        <v>14</v>
      </c>
      <c r="B12" s="1">
        <f>'Data Sheet'!B30</f>
        <v>0</v>
      </c>
      <c r="C12" s="1">
        <f>'Data Sheet'!C30</f>
        <v>0</v>
      </c>
      <c r="D12" s="1">
        <f>'Data Sheet'!D30</f>
        <v>0</v>
      </c>
      <c r="E12" s="1">
        <f>'Data Sheet'!E30</f>
        <v>2627.38</v>
      </c>
      <c r="F12" s="1">
        <f>'Data Sheet'!F30</f>
        <v>2710.48</v>
      </c>
      <c r="G12" s="1">
        <f>'Data Sheet'!G30</f>
        <v>2974.14</v>
      </c>
      <c r="H12" s="1">
        <f>'Data Sheet'!H30</f>
        <v>4124.71</v>
      </c>
      <c r="I12" s="1">
        <f>'Data Sheet'!I30</f>
        <v>35996.65</v>
      </c>
      <c r="J12" s="1">
        <f>'Data Sheet'!J30</f>
        <v>40915.85</v>
      </c>
      <c r="K12" s="1">
        <f>'Data Sheet'!K30</f>
        <v>48320.33</v>
      </c>
      <c r="L12" s="1">
        <f>SUM(Quarters!H12:K12)</f>
        <v>48320.33</v>
      </c>
      <c r="M12" s="1">
        <f>M10-M11*M10</f>
        <v>45420.269678528857</v>
      </c>
      <c r="N12" s="1">
        <f>N10-N11*N10</f>
        <v>20009.685572219038</v>
      </c>
    </row>
    <row r="13" spans="1:14" x14ac:dyDescent="0.3">
      <c r="A13" t="s">
        <v>48</v>
      </c>
      <c r="B13" s="6">
        <f>IF('Data Sheet'!B93&gt;0,B12/'Data Sheet'!B93,0)</f>
        <v>0</v>
      </c>
      <c r="C13" s="6">
        <f>IF('Data Sheet'!C93&gt;0,C12/'Data Sheet'!C93,0)</f>
        <v>0</v>
      </c>
      <c r="D13" s="6">
        <f>IF('Data Sheet'!D93&gt;0,D12/'Data Sheet'!D93,0)</f>
        <v>0</v>
      </c>
      <c r="E13" s="6">
        <f>IF('Data Sheet'!E93&gt;0,E12/'Data Sheet'!E93,0)</f>
        <v>4.1539619841831783</v>
      </c>
      <c r="F13" s="6">
        <f>IF('Data Sheet'!F93&gt;0,F12/'Data Sheet'!F93,0)</f>
        <v>4.2853454311476913</v>
      </c>
      <c r="G13" s="6">
        <f>IF('Data Sheet'!G93&gt;0,G12/'Data Sheet'!G93,0)</f>
        <v>4.7021993376057356</v>
      </c>
      <c r="H13" s="6">
        <f>IF('Data Sheet'!H93&gt;0,H12/'Data Sheet'!H93,0)</f>
        <v>6.5212806324110675</v>
      </c>
      <c r="I13" s="6">
        <f>IF('Data Sheet'!I93&gt;0,I12/'Data Sheet'!I93,0)</f>
        <v>56.911699604743085</v>
      </c>
      <c r="J13" s="6">
        <f>IF('Data Sheet'!J93&gt;0,J12/'Data Sheet'!J93,0)</f>
        <v>64.689090909090908</v>
      </c>
      <c r="K13" s="6">
        <f>IF('Data Sheet'!K93&gt;0,K12/'Data Sheet'!K93,0)</f>
        <v>76.395778656126481</v>
      </c>
      <c r="L13" s="6">
        <f>IF('Data Sheet'!$B6&gt;0,'Profit &amp; Loss'!L12/'Data Sheet'!$B6,0)</f>
        <v>76.395806383994696</v>
      </c>
      <c r="M13" s="6">
        <f>IF('Data Sheet'!$B6&gt;0,'Profit &amp; Loss'!M12/'Data Sheet'!$B6,0)</f>
        <v>71.810729112771284</v>
      </c>
      <c r="N13" s="6">
        <f>IF('Data Sheet'!$B6&gt;0,'Profit &amp; Loss'!N12/'Data Sheet'!$B6,0)</f>
        <v>31.63587799958853</v>
      </c>
    </row>
    <row r="14" spans="1:14" x14ac:dyDescent="0.3">
      <c r="A14" t="s">
        <v>16</v>
      </c>
      <c r="B14" s="6" t="str">
        <f>IF(B15&gt;0,B15/B13,"")</f>
        <v/>
      </c>
      <c r="C14" s="6" t="str">
        <f t="shared" ref="C14:K14" si="2">IF(C15&gt;0,C15/C13,"")</f>
        <v/>
      </c>
      <c r="D14" s="6" t="str">
        <f t="shared" si="2"/>
        <v/>
      </c>
      <c r="E14" s="6" t="str">
        <f t="shared" si="2"/>
        <v/>
      </c>
      <c r="F14" s="6" t="str">
        <f t="shared" si="2"/>
        <v/>
      </c>
      <c r="G14" s="6" t="str">
        <f t="shared" si="2"/>
        <v/>
      </c>
      <c r="H14" s="6" t="str">
        <f t="shared" si="2"/>
        <v/>
      </c>
      <c r="I14" s="6">
        <f t="shared" si="2"/>
        <v>9.3891063473962166</v>
      </c>
      <c r="J14" s="6">
        <f t="shared" si="2"/>
        <v>14.162357008347621</v>
      </c>
      <c r="K14" s="6">
        <f t="shared" si="2"/>
        <v>10.463928950816355</v>
      </c>
      <c r="L14" s="6">
        <f t="shared" ref="L14" si="3">IF(L13&gt;0,L15/L13,0)</f>
        <v>12.259180763045284</v>
      </c>
      <c r="M14" s="6">
        <f>M25</f>
        <v>12.259180763045284</v>
      </c>
      <c r="N14" s="6">
        <f>N25</f>
        <v>11.56864326740137</v>
      </c>
    </row>
    <row r="15" spans="1:14" s="2" customFormat="1" x14ac:dyDescent="0.3">
      <c r="A15" s="2" t="s">
        <v>49</v>
      </c>
      <c r="B15" s="1">
        <f>'Data Sheet'!B90</f>
        <v>0</v>
      </c>
      <c r="C15" s="1">
        <f>'Data Sheet'!C90</f>
        <v>0</v>
      </c>
      <c r="D15" s="1">
        <f>'Data Sheet'!D90</f>
        <v>0</v>
      </c>
      <c r="E15" s="1">
        <f>'Data Sheet'!E90</f>
        <v>0</v>
      </c>
      <c r="F15" s="1">
        <f>'Data Sheet'!F90</f>
        <v>0</v>
      </c>
      <c r="G15" s="1">
        <f>'Data Sheet'!G90</f>
        <v>0</v>
      </c>
      <c r="H15" s="1">
        <f>'Data Sheet'!H90</f>
        <v>0</v>
      </c>
      <c r="I15" s="1">
        <f>'Data Sheet'!I90</f>
        <v>534.35</v>
      </c>
      <c r="J15" s="1">
        <f>'Data Sheet'!J90</f>
        <v>916.15</v>
      </c>
      <c r="K15" s="1">
        <f>'Data Sheet'!K90</f>
        <v>799.4</v>
      </c>
      <c r="L15" s="1">
        <f>'Data Sheet'!B8</f>
        <v>936.55</v>
      </c>
      <c r="M15" s="8">
        <f>M13*M14</f>
        <v>880.34070891954173</v>
      </c>
      <c r="N15" s="9">
        <f>N13*N14</f>
        <v>365.98418702827098</v>
      </c>
    </row>
    <row r="16" spans="1:14" x14ac:dyDescent="0.3">
      <c r="H16" s="72"/>
    </row>
    <row r="17" spans="1:14" s="2" customFormat="1" x14ac:dyDescent="0.3">
      <c r="A17" s="2" t="s">
        <v>15</v>
      </c>
    </row>
    <row r="18" spans="1:14" x14ac:dyDescent="0.3">
      <c r="A18" t="s">
        <v>17</v>
      </c>
      <c r="B18" s="5">
        <f>IF('Data Sheet'!B30&gt;0, 'Data Sheet'!B31/'Data Sheet'!B30, 0)</f>
        <v>0</v>
      </c>
      <c r="C18" s="5">
        <f>IF('Data Sheet'!C30&gt;0, 'Data Sheet'!C31/'Data Sheet'!C30, 0)</f>
        <v>0</v>
      </c>
      <c r="D18" s="5">
        <f>IF('Data Sheet'!D30&gt;0, 'Data Sheet'!D31/'Data Sheet'!D30, 0)</f>
        <v>0</v>
      </c>
      <c r="E18" s="5">
        <f>IF('Data Sheet'!E30&gt;0, 'Data Sheet'!E31/'Data Sheet'!E30, 0)</f>
        <v>1.5985506474130121E-2</v>
      </c>
      <c r="F18" s="5">
        <f>IF('Data Sheet'!F30&gt;0, 'Data Sheet'!F31/'Data Sheet'!F30, 0)</f>
        <v>1.5753667247129659E-2</v>
      </c>
      <c r="G18" s="5">
        <f>IF('Data Sheet'!G30&gt;0, 'Data Sheet'!G31/'Data Sheet'!G30, 0)</f>
        <v>0</v>
      </c>
      <c r="H18" s="5">
        <f>IF('Data Sheet'!H30&gt;0, 'Data Sheet'!H31/'Data Sheet'!H30, 0)</f>
        <v>0.2300161708338283</v>
      </c>
      <c r="I18" s="5">
        <f>IF('Data Sheet'!I30&gt;0, 'Data Sheet'!I31/'Data Sheet'!I30, 0)</f>
        <v>5.2713238593035741E-2</v>
      </c>
      <c r="J18" s="5">
        <f>IF('Data Sheet'!J30&gt;0, 'Data Sheet'!J31/'Data Sheet'!J30, 0)</f>
        <v>0.15458557013968915</v>
      </c>
      <c r="K18" s="5">
        <f>IF('Data Sheet'!K30&gt;0, 'Data Sheet'!K31/'Data Sheet'!K30, 0)</f>
        <v>0.15707674181860926</v>
      </c>
    </row>
    <row r="19" spans="1:14" x14ac:dyDescent="0.3">
      <c r="A19" t="s">
        <v>18</v>
      </c>
      <c r="B19" s="5">
        <f t="shared" ref="B19:L19" si="4">IF(B6&gt;0,B6/B4,0)</f>
        <v>0</v>
      </c>
      <c r="C19" s="5">
        <f t="shared" ref="C19:K19" si="5">IF(C6&gt;0,C6/C4,0)</f>
        <v>0</v>
      </c>
      <c r="D19" s="5">
        <f t="shared" si="5"/>
        <v>0</v>
      </c>
      <c r="E19" s="5">
        <f t="shared" si="5"/>
        <v>1.0359436488649185E-2</v>
      </c>
      <c r="F19" s="5">
        <f t="shared" si="5"/>
        <v>0</v>
      </c>
      <c r="G19" s="5">
        <f t="shared" si="5"/>
        <v>0</v>
      </c>
      <c r="H19" s="5">
        <f t="shared" si="5"/>
        <v>4.596836768790291E-3</v>
      </c>
      <c r="I19" s="5">
        <f t="shared" si="5"/>
        <v>4.3596730245231696E-2</v>
      </c>
      <c r="J19" s="5">
        <f t="shared" si="5"/>
        <v>3.8747048538111457E-2</v>
      </c>
      <c r="K19" s="5">
        <f t="shared" si="5"/>
        <v>5.9215219407053751E-2</v>
      </c>
      <c r="L19" s="5">
        <f t="shared" si="4"/>
        <v>5.5966323449861834E-2</v>
      </c>
    </row>
    <row r="20" spans="1:14" x14ac:dyDescent="0.3">
      <c r="B20" s="5"/>
      <c r="C20" s="5"/>
      <c r="D20" s="5"/>
      <c r="E20" s="5"/>
      <c r="F20" s="5"/>
      <c r="G20" s="5"/>
      <c r="H20" s="5"/>
      <c r="I20" s="5"/>
      <c r="J20" s="5"/>
      <c r="K20" s="5"/>
      <c r="L20" s="5"/>
    </row>
    <row r="21" spans="1:14" x14ac:dyDescent="0.3">
      <c r="B21" s="5"/>
      <c r="C21" s="5"/>
      <c r="D21" s="5"/>
      <c r="E21" s="5"/>
      <c r="F21" s="5"/>
      <c r="G21" s="5"/>
      <c r="H21" s="5"/>
      <c r="I21" s="5"/>
      <c r="J21" s="5"/>
      <c r="K21" s="5"/>
      <c r="L21" s="5"/>
    </row>
    <row r="22" spans="1:14" s="2" customFormat="1" x14ac:dyDescent="0.3">
      <c r="A22" s="11"/>
      <c r="B22" s="12"/>
      <c r="C22" s="12"/>
      <c r="D22" s="12"/>
      <c r="E22" s="12"/>
      <c r="F22" s="12"/>
      <c r="G22" s="12" t="s">
        <v>19</v>
      </c>
      <c r="H22" s="12" t="s">
        <v>56</v>
      </c>
      <c r="I22" s="12" t="s">
        <v>57</v>
      </c>
      <c r="J22" s="12" t="s">
        <v>58</v>
      </c>
      <c r="K22" s="12" t="s">
        <v>59</v>
      </c>
      <c r="L22" s="13" t="s">
        <v>60</v>
      </c>
      <c r="M22" s="13" t="s">
        <v>20</v>
      </c>
      <c r="N22" s="13" t="s">
        <v>21</v>
      </c>
    </row>
    <row r="23" spans="1:14" s="2" customFormat="1" x14ac:dyDescent="0.3">
      <c r="A23"/>
      <c r="B23"/>
      <c r="C23"/>
      <c r="D23"/>
      <c r="E23"/>
      <c r="F23"/>
      <c r="G23" t="s">
        <v>22</v>
      </c>
      <c r="H23" s="5" t="str">
        <f>IF(B4=0,"",POWER($K4/B4,1/9)-1)</f>
        <v/>
      </c>
      <c r="I23" s="5" t="str">
        <f>IF(D4=0,"",POWER($K4/D4,1/7)-1)</f>
        <v/>
      </c>
      <c r="J23" s="5">
        <f>IF(F4=0,"",POWER($K4/F4,1/5)-1)</f>
        <v>7.2203519742321864E-2</v>
      </c>
      <c r="K23" s="5">
        <f>IF(H4=0,"",POWER($K4/H4, 1/3)-1)</f>
        <v>7.141489872062512E-2</v>
      </c>
      <c r="L23" s="5">
        <f>IF(ISERROR(MAX(IF(J4=0,"",(K4-J4)/J4),IF(K4=0,"",(L4-K4)/K4))),"",MAX(IF(J4=0,"",(K4-J4)/J4),IF(K4=0,"",(L4-K4)/K4)))</f>
        <v>5.2015838407382581E-2</v>
      </c>
      <c r="M23" s="16">
        <f>MAX(K23:L23)</f>
        <v>7.141489872062512E-2</v>
      </c>
      <c r="N23" s="16">
        <f>MIN(H23:L23)</f>
        <v>5.2015838407382581E-2</v>
      </c>
    </row>
    <row r="24" spans="1:14" x14ac:dyDescent="0.3">
      <c r="G24" t="s">
        <v>18</v>
      </c>
      <c r="H24" s="5">
        <f>IF(SUM(B4:$K$4)=0,"",SUMPRODUCT(B19:$K$19,B4:$K$4)/SUM(B4:$K$4))</f>
        <v>2.511034830408496E-2</v>
      </c>
      <c r="I24" s="5">
        <f>IF(SUM(E4:$K$4)=0,"",SUMPRODUCT(E19:$K$19,E4:$K$4)/SUM(E4:$K$4))</f>
        <v>2.511034830408496E-2</v>
      </c>
      <c r="J24" s="5">
        <f>IF(SUM(G4:$K$4)=0,"",SUMPRODUCT(G19:$K$19,G4:$K$4)/SUM(G4:$K$4))</f>
        <v>3.1260314900101137E-2</v>
      </c>
      <c r="K24" s="5">
        <f>IF(SUM(I4:$K$4)=0, "", SUMPRODUCT(I19:$K$19,I4:$K$4)/SUM(I4:$K$4))</f>
        <v>4.7483685437327769E-2</v>
      </c>
      <c r="L24" s="5">
        <f>L19</f>
        <v>5.5966323449861834E-2</v>
      </c>
      <c r="M24" s="16">
        <f>MAX(K24:L24)</f>
        <v>5.5966323449861834E-2</v>
      </c>
      <c r="N24" s="16">
        <f>MIN(H24:L24)</f>
        <v>2.511034830408496E-2</v>
      </c>
    </row>
    <row r="25" spans="1:14" x14ac:dyDescent="0.3">
      <c r="A25" t="s">
        <v>96</v>
      </c>
      <c r="G25" t="s">
        <v>23</v>
      </c>
      <c r="H25" s="6">
        <f>IF(ISERROR(AVERAGEIF(B14:$L14,"&gt;0")),"",AVERAGEIF(B14:$L14,"&gt;0"))</f>
        <v>11.56864326740137</v>
      </c>
      <c r="I25" s="6">
        <f>IF(ISERROR(AVERAGEIF(E14:$L14,"&gt;0")),"",AVERAGEIF(E14:$L14,"&gt;0"))</f>
        <v>11.56864326740137</v>
      </c>
      <c r="J25" s="6">
        <f>IF(ISERROR(AVERAGEIF(G14:$L14,"&gt;0")),"",AVERAGEIF(G14:$L14,"&gt;0"))</f>
        <v>11.56864326740137</v>
      </c>
      <c r="K25" s="6">
        <f>IF(ISERROR(AVERAGEIF(I14:$L14,"&gt;0")),"",AVERAGEIF(I14:$L14,"&gt;0"))</f>
        <v>11.56864326740137</v>
      </c>
      <c r="L25" s="6">
        <f>L14</f>
        <v>12.259180763045284</v>
      </c>
      <c r="M25" s="1">
        <f>MAX(K25:L25)</f>
        <v>12.259180763045284</v>
      </c>
      <c r="N25" s="1">
        <f>MIN(H25:L25)</f>
        <v>11.56864326740137</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32"/>
  <sheetViews>
    <sheetView zoomScale="150" workbookViewId="0">
      <pane xSplit="1" ySplit="3" topLeftCell="G25" activePane="bottomRight" state="frozen"/>
      <selection activeCell="C4" sqref="C4"/>
      <selection pane="topRight" activeCell="C4" sqref="C4"/>
      <selection pane="bottomLeft" activeCell="C4" sqref="C4"/>
      <selection pane="bottomRight" activeCell="M20" sqref="M20"/>
    </sheetView>
  </sheetViews>
  <sheetFormatPr defaultColWidth="8.77734375" defaultRowHeight="14.4" x14ac:dyDescent="0.3"/>
  <cols>
    <col min="1" max="1" width="22.77734375" bestFit="1" customWidth="1"/>
    <col min="2" max="2" width="13.44140625" customWidth="1"/>
    <col min="3" max="11" width="15.44140625" customWidth="1"/>
  </cols>
  <sheetData>
    <row r="1" spans="1:11" s="2" customFormat="1" x14ac:dyDescent="0.3">
      <c r="A1" s="2" t="str">
        <f>'Profit &amp; Loss'!A1</f>
        <v>LIFE INSURANCE CORPORATION OF INDIA</v>
      </c>
      <c r="E1" t="str">
        <f>UPDATE</f>
        <v/>
      </c>
      <c r="G1"/>
      <c r="J1" s="2" t="s">
        <v>1</v>
      </c>
    </row>
    <row r="2" spans="1:11" x14ac:dyDescent="0.3">
      <c r="G2" s="2"/>
      <c r="H2" s="2"/>
    </row>
    <row r="3" spans="1:11" x14ac:dyDescent="0.3">
      <c r="A3" s="11" t="s">
        <v>2</v>
      </c>
      <c r="B3" s="12">
        <f>'Data Sheet'!B56</f>
        <v>0</v>
      </c>
      <c r="C3" s="12">
        <f>'Data Sheet'!C56</f>
        <v>0</v>
      </c>
      <c r="D3" s="12">
        <f>'Data Sheet'!D56</f>
        <v>0</v>
      </c>
      <c r="E3" s="12">
        <f>'Data Sheet'!E56</f>
        <v>43555</v>
      </c>
      <c r="F3" s="12">
        <f>'Data Sheet'!F56</f>
        <v>43921</v>
      </c>
      <c r="G3" s="12">
        <f>'Data Sheet'!G56</f>
        <v>44286</v>
      </c>
      <c r="H3" s="12">
        <f>'Data Sheet'!H56</f>
        <v>44651</v>
      </c>
      <c r="I3" s="12">
        <f>'Data Sheet'!I56</f>
        <v>45016</v>
      </c>
      <c r="J3" s="12">
        <f>'Data Sheet'!J56</f>
        <v>45382</v>
      </c>
      <c r="K3" s="12">
        <f>'Data Sheet'!K56</f>
        <v>45747</v>
      </c>
    </row>
    <row r="4" spans="1:11" x14ac:dyDescent="0.3">
      <c r="A4" t="s">
        <v>24</v>
      </c>
      <c r="B4" s="14">
        <f>'Data Sheet'!B57</f>
        <v>0</v>
      </c>
      <c r="C4" s="14">
        <f>'Data Sheet'!C57</f>
        <v>0</v>
      </c>
      <c r="D4" s="14">
        <f>'Data Sheet'!D57</f>
        <v>0</v>
      </c>
      <c r="E4" s="14">
        <f>'Data Sheet'!E57</f>
        <v>100</v>
      </c>
      <c r="F4" s="14">
        <f>'Data Sheet'!F57</f>
        <v>100</v>
      </c>
      <c r="G4" s="14">
        <f>'Data Sheet'!G57</f>
        <v>100</v>
      </c>
      <c r="H4" s="14">
        <f>'Data Sheet'!H57</f>
        <v>6325</v>
      </c>
      <c r="I4" s="14">
        <f>'Data Sheet'!I57</f>
        <v>6325</v>
      </c>
      <c r="J4" s="14">
        <f>'Data Sheet'!J57</f>
        <v>6325</v>
      </c>
      <c r="K4" s="14">
        <f>'Data Sheet'!K57</f>
        <v>6325</v>
      </c>
    </row>
    <row r="5" spans="1:11" x14ac:dyDescent="0.3">
      <c r="A5" t="s">
        <v>25</v>
      </c>
      <c r="B5" s="14">
        <f>'Data Sheet'!B58</f>
        <v>0</v>
      </c>
      <c r="C5" s="14">
        <f>'Data Sheet'!C58</f>
        <v>0</v>
      </c>
      <c r="D5" s="14">
        <f>'Data Sheet'!D58</f>
        <v>0</v>
      </c>
      <c r="E5" s="14">
        <f>'Data Sheet'!E58</f>
        <v>709.67</v>
      </c>
      <c r="F5" s="14">
        <f>'Data Sheet'!F58</f>
        <v>901.83</v>
      </c>
      <c r="G5" s="14">
        <f>'Data Sheet'!G58</f>
        <v>6783.97</v>
      </c>
      <c r="H5" s="14">
        <f>'Data Sheet'!H58</f>
        <v>5013.33</v>
      </c>
      <c r="I5" s="14">
        <f>'Data Sheet'!I58</f>
        <v>39907.870000000003</v>
      </c>
      <c r="J5" s="14">
        <f>'Data Sheet'!J58</f>
        <v>76421.87</v>
      </c>
      <c r="K5" s="14">
        <f>'Data Sheet'!K58</f>
        <v>120901.39</v>
      </c>
    </row>
    <row r="6" spans="1:11" x14ac:dyDescent="0.3">
      <c r="A6" t="s">
        <v>62</v>
      </c>
      <c r="B6" s="14">
        <f>'Data Sheet'!B59</f>
        <v>0</v>
      </c>
      <c r="C6" s="14">
        <f>'Data Sheet'!C59</f>
        <v>0</v>
      </c>
      <c r="D6" s="14">
        <f>'Data Sheet'!D59</f>
        <v>0</v>
      </c>
      <c r="E6" s="14">
        <f>'Data Sheet'!E59</f>
        <v>269400.59999999998</v>
      </c>
      <c r="F6" s="14">
        <f>'Data Sheet'!F59</f>
        <v>253413.6</v>
      </c>
      <c r="G6" s="14">
        <f>'Data Sheet'!G59</f>
        <v>3.67</v>
      </c>
      <c r="H6" s="14">
        <f>'Data Sheet'!H59</f>
        <v>1.29</v>
      </c>
      <c r="I6" s="14">
        <f>'Data Sheet'!I59</f>
        <v>0</v>
      </c>
      <c r="J6" s="14">
        <f>'Data Sheet'!J59</f>
        <v>0</v>
      </c>
      <c r="K6" s="14">
        <f>'Data Sheet'!K59</f>
        <v>0.99</v>
      </c>
    </row>
    <row r="7" spans="1:11" x14ac:dyDescent="0.3">
      <c r="A7" t="s">
        <v>63</v>
      </c>
      <c r="B7" s="14">
        <f>'Data Sheet'!B60</f>
        <v>0</v>
      </c>
      <c r="C7" s="14">
        <f>'Data Sheet'!C60</f>
        <v>0</v>
      </c>
      <c r="D7" s="14">
        <f>'Data Sheet'!D60</f>
        <v>0</v>
      </c>
      <c r="E7" s="14">
        <f>'Data Sheet'!E60</f>
        <v>3157038.96</v>
      </c>
      <c r="F7" s="14">
        <f>'Data Sheet'!F60</f>
        <v>3245418.65</v>
      </c>
      <c r="G7" s="14">
        <f>'Data Sheet'!G60</f>
        <v>3822636.57</v>
      </c>
      <c r="H7" s="14">
        <f>'Data Sheet'!H60</f>
        <v>4242719.32</v>
      </c>
      <c r="I7" s="14">
        <f>'Data Sheet'!I60</f>
        <v>4532258.4800000004</v>
      </c>
      <c r="J7" s="14">
        <f>'Data Sheet'!J60</f>
        <v>5233300.25</v>
      </c>
      <c r="K7" s="14">
        <f>'Data Sheet'!K60</f>
        <v>5533341.0800000001</v>
      </c>
    </row>
    <row r="8" spans="1:11" s="2" customFormat="1" x14ac:dyDescent="0.3">
      <c r="A8" s="2" t="s">
        <v>26</v>
      </c>
      <c r="B8" s="15">
        <f>'Data Sheet'!B61</f>
        <v>0</v>
      </c>
      <c r="C8" s="15">
        <f>'Data Sheet'!C61</f>
        <v>0</v>
      </c>
      <c r="D8" s="15">
        <f>'Data Sheet'!D61</f>
        <v>0</v>
      </c>
      <c r="E8" s="15">
        <f>'Data Sheet'!E61</f>
        <v>3427249.23</v>
      </c>
      <c r="F8" s="15">
        <f>'Data Sheet'!F61</f>
        <v>3499834.08</v>
      </c>
      <c r="G8" s="15">
        <f>'Data Sheet'!G61</f>
        <v>3829524.21</v>
      </c>
      <c r="H8" s="15">
        <f>'Data Sheet'!H61</f>
        <v>4254058.9400000004</v>
      </c>
      <c r="I8" s="15">
        <f>'Data Sheet'!I61</f>
        <v>4578491.3499999996</v>
      </c>
      <c r="J8" s="15">
        <f>'Data Sheet'!J61</f>
        <v>5316047.12</v>
      </c>
      <c r="K8" s="15">
        <f>'Data Sheet'!K61</f>
        <v>5660568.46</v>
      </c>
    </row>
    <row r="9" spans="1:11" s="2" customFormat="1" x14ac:dyDescent="0.3">
      <c r="B9" s="15"/>
      <c r="C9" s="15"/>
      <c r="D9" s="15"/>
      <c r="E9" s="15"/>
      <c r="F9" s="15"/>
      <c r="G9" s="15"/>
      <c r="H9" s="15"/>
      <c r="I9" s="15"/>
      <c r="J9" s="15"/>
      <c r="K9" s="15"/>
    </row>
    <row r="10" spans="1:11" x14ac:dyDescent="0.3">
      <c r="A10" t="s">
        <v>27</v>
      </c>
      <c r="B10" s="14">
        <f>'Data Sheet'!B62</f>
        <v>0</v>
      </c>
      <c r="C10" s="14">
        <f>'Data Sheet'!C62</f>
        <v>0</v>
      </c>
      <c r="D10" s="14">
        <f>'Data Sheet'!D62</f>
        <v>0</v>
      </c>
      <c r="E10" s="14">
        <f>'Data Sheet'!E62</f>
        <v>25193.53</v>
      </c>
      <c r="F10" s="14">
        <f>'Data Sheet'!F62</f>
        <v>28216.33</v>
      </c>
      <c r="G10" s="14">
        <f>'Data Sheet'!G62</f>
        <v>17722.509999999998</v>
      </c>
      <c r="H10" s="14">
        <f>'Data Sheet'!H62</f>
        <v>17769.97</v>
      </c>
      <c r="I10" s="14">
        <f>'Data Sheet'!I62</f>
        <v>20473.259999999998</v>
      </c>
      <c r="J10" s="14">
        <f>'Data Sheet'!J62</f>
        <v>20667.27</v>
      </c>
      <c r="K10" s="14">
        <f>'Data Sheet'!K62</f>
        <v>4483.18</v>
      </c>
    </row>
    <row r="11" spans="1:11" x14ac:dyDescent="0.3">
      <c r="A11" t="s">
        <v>28</v>
      </c>
      <c r="B11" s="14">
        <f>'Data Sheet'!B63</f>
        <v>0</v>
      </c>
      <c r="C11" s="14">
        <f>'Data Sheet'!C63</f>
        <v>0</v>
      </c>
      <c r="D11" s="14">
        <f>'Data Sheet'!D63</f>
        <v>0</v>
      </c>
      <c r="E11" s="14">
        <f>'Data Sheet'!E63</f>
        <v>710.31</v>
      </c>
      <c r="F11" s="14">
        <f>'Data Sheet'!F63</f>
        <v>734.18</v>
      </c>
      <c r="G11" s="14">
        <f>'Data Sheet'!G63</f>
        <v>148.32</v>
      </c>
      <c r="H11" s="14">
        <f>'Data Sheet'!H63</f>
        <v>198.75</v>
      </c>
      <c r="I11" s="14">
        <f>'Data Sheet'!I63</f>
        <v>331.46</v>
      </c>
      <c r="J11" s="14">
        <f>'Data Sheet'!J63</f>
        <v>402.52</v>
      </c>
      <c r="K11" s="14">
        <f>'Data Sheet'!K63</f>
        <v>0</v>
      </c>
    </row>
    <row r="12" spans="1:11" x14ac:dyDescent="0.3">
      <c r="A12" t="s">
        <v>29</v>
      </c>
      <c r="B12" s="14">
        <f>'Data Sheet'!B64</f>
        <v>0</v>
      </c>
      <c r="C12" s="14">
        <f>'Data Sheet'!C64</f>
        <v>0</v>
      </c>
      <c r="D12" s="14">
        <f>'Data Sheet'!D64</f>
        <v>0</v>
      </c>
      <c r="E12" s="14">
        <f>'Data Sheet'!E64</f>
        <v>2900286.68</v>
      </c>
      <c r="F12" s="14">
        <f>'Data Sheet'!F64</f>
        <v>2976099.75</v>
      </c>
      <c r="G12" s="14">
        <f>'Data Sheet'!G64</f>
        <v>3517445.3</v>
      </c>
      <c r="H12" s="14">
        <f>'Data Sheet'!H64</f>
        <v>3926212.47</v>
      </c>
      <c r="I12" s="14">
        <f>'Data Sheet'!I64</f>
        <v>4243008.2699999996</v>
      </c>
      <c r="J12" s="14">
        <f>'Data Sheet'!J64</f>
        <v>4976133.2699999996</v>
      </c>
      <c r="K12" s="14">
        <f>'Data Sheet'!K64</f>
        <v>5315602.67</v>
      </c>
    </row>
    <row r="13" spans="1:11" x14ac:dyDescent="0.3">
      <c r="A13" t="s">
        <v>64</v>
      </c>
      <c r="B13" s="14">
        <f>'Data Sheet'!B65</f>
        <v>0</v>
      </c>
      <c r="C13" s="14">
        <f>'Data Sheet'!C65</f>
        <v>0</v>
      </c>
      <c r="D13" s="14">
        <f>'Data Sheet'!D65</f>
        <v>0</v>
      </c>
      <c r="E13" s="14">
        <f>'Data Sheet'!E65</f>
        <v>501058.71</v>
      </c>
      <c r="F13" s="14">
        <f>'Data Sheet'!F65</f>
        <v>494783.82</v>
      </c>
      <c r="G13" s="14">
        <f>'Data Sheet'!G65</f>
        <v>294208.08</v>
      </c>
      <c r="H13" s="14">
        <f>'Data Sheet'!H65</f>
        <v>309877.75</v>
      </c>
      <c r="I13" s="14">
        <f>'Data Sheet'!I65</f>
        <v>314678.36</v>
      </c>
      <c r="J13" s="14">
        <f>'Data Sheet'!J65</f>
        <v>318844.06</v>
      </c>
      <c r="K13" s="14">
        <f>'Data Sheet'!K65</f>
        <v>340482.61</v>
      </c>
    </row>
    <row r="14" spans="1:11" s="2" customFormat="1" x14ac:dyDescent="0.3">
      <c r="A14" s="2" t="s">
        <v>26</v>
      </c>
      <c r="B14" s="14">
        <f>'Data Sheet'!B66</f>
        <v>0</v>
      </c>
      <c r="C14" s="14">
        <f>'Data Sheet'!C66</f>
        <v>0</v>
      </c>
      <c r="D14" s="14">
        <f>'Data Sheet'!D66</f>
        <v>0</v>
      </c>
      <c r="E14" s="14">
        <f>'Data Sheet'!E66</f>
        <v>3427249.23</v>
      </c>
      <c r="F14" s="14">
        <f>'Data Sheet'!F66</f>
        <v>3499834.08</v>
      </c>
      <c r="G14" s="14">
        <f>'Data Sheet'!G66</f>
        <v>3829524.21</v>
      </c>
      <c r="H14" s="14">
        <f>'Data Sheet'!H66</f>
        <v>4254058.9400000004</v>
      </c>
      <c r="I14" s="14">
        <f>'Data Sheet'!I66</f>
        <v>4578491.3499999996</v>
      </c>
      <c r="J14" s="14">
        <f>'Data Sheet'!J66</f>
        <v>5316047.12</v>
      </c>
      <c r="K14" s="14">
        <f>'Data Sheet'!K66</f>
        <v>5660568.46</v>
      </c>
    </row>
    <row r="15" spans="1:11" x14ac:dyDescent="0.3">
      <c r="B15" s="4"/>
      <c r="C15" s="4"/>
      <c r="D15" s="4"/>
      <c r="E15" s="4"/>
      <c r="F15" s="4"/>
      <c r="G15" s="4"/>
      <c r="H15" s="4"/>
      <c r="I15" s="4"/>
      <c r="J15" s="4"/>
      <c r="K15" s="4"/>
    </row>
    <row r="16" spans="1:11" x14ac:dyDescent="0.3">
      <c r="A16" t="s">
        <v>30</v>
      </c>
      <c r="B16" s="4">
        <f>B13-B7</f>
        <v>0</v>
      </c>
      <c r="C16" s="4">
        <f t="shared" ref="C16:K16" si="0">C13-C7</f>
        <v>0</v>
      </c>
      <c r="D16" s="4">
        <f t="shared" si="0"/>
        <v>0</v>
      </c>
      <c r="E16" s="4">
        <f t="shared" si="0"/>
        <v>-2655980.25</v>
      </c>
      <c r="F16" s="4">
        <f t="shared" si="0"/>
        <v>-2750634.83</v>
      </c>
      <c r="G16" s="4">
        <f t="shared" si="0"/>
        <v>-3528428.4899999998</v>
      </c>
      <c r="H16" s="4">
        <f t="shared" si="0"/>
        <v>-3932841.5700000003</v>
      </c>
      <c r="I16" s="4">
        <f t="shared" si="0"/>
        <v>-4217580.12</v>
      </c>
      <c r="J16" s="4">
        <f t="shared" si="0"/>
        <v>-4914456.1900000004</v>
      </c>
      <c r="K16" s="4">
        <f t="shared" si="0"/>
        <v>-5192858.47</v>
      </c>
    </row>
    <row r="17" spans="1:11" x14ac:dyDescent="0.3">
      <c r="A17" t="s">
        <v>44</v>
      </c>
      <c r="B17" s="4">
        <f>'Data Sheet'!B67</f>
        <v>0</v>
      </c>
      <c r="C17" s="4">
        <f>'Data Sheet'!C67</f>
        <v>0</v>
      </c>
      <c r="D17" s="4">
        <f>'Data Sheet'!D67</f>
        <v>0</v>
      </c>
      <c r="E17" s="4">
        <f>'Data Sheet'!E67</f>
        <v>0</v>
      </c>
      <c r="F17" s="4">
        <f>'Data Sheet'!F67</f>
        <v>0</v>
      </c>
      <c r="G17" s="4">
        <f>'Data Sheet'!G67</f>
        <v>0</v>
      </c>
      <c r="H17" s="4">
        <f>'Data Sheet'!H67</f>
        <v>0</v>
      </c>
      <c r="I17" s="4">
        <f>'Data Sheet'!I67</f>
        <v>0</v>
      </c>
      <c r="J17" s="4">
        <f>'Data Sheet'!J67</f>
        <v>0</v>
      </c>
      <c r="K17" s="4">
        <f>'Data Sheet'!K67</f>
        <v>0</v>
      </c>
    </row>
    <row r="18" spans="1:11" x14ac:dyDescent="0.3">
      <c r="A18" t="s">
        <v>45</v>
      </c>
      <c r="B18" s="4">
        <f>'Data Sheet'!B68</f>
        <v>0</v>
      </c>
      <c r="C18" s="4">
        <f>'Data Sheet'!C68</f>
        <v>0</v>
      </c>
      <c r="D18" s="4">
        <f>'Data Sheet'!D68</f>
        <v>0</v>
      </c>
      <c r="E18" s="4">
        <f>'Data Sheet'!E68</f>
        <v>0</v>
      </c>
      <c r="F18" s="4">
        <f>'Data Sheet'!F68</f>
        <v>0</v>
      </c>
      <c r="G18" s="4">
        <f>'Data Sheet'!G68</f>
        <v>0</v>
      </c>
      <c r="H18" s="4">
        <f>'Data Sheet'!H68</f>
        <v>0</v>
      </c>
      <c r="I18" s="4">
        <f>'Data Sheet'!I68</f>
        <v>0</v>
      </c>
      <c r="J18" s="4">
        <f>'Data Sheet'!J68</f>
        <v>0</v>
      </c>
      <c r="K18" s="4">
        <f>'Data Sheet'!K68</f>
        <v>0</v>
      </c>
    </row>
    <row r="19" spans="1:11" x14ac:dyDescent="0.3">
      <c r="A19" t="s">
        <v>189</v>
      </c>
      <c r="E19">
        <f>'Data Sheet'!E69</f>
        <v>67899.53</v>
      </c>
      <c r="F19">
        <f>'Data Sheet'!F69</f>
        <v>63152.63</v>
      </c>
      <c r="G19">
        <f>'Data Sheet'!G69</f>
        <v>36078.32</v>
      </c>
      <c r="H19">
        <f>'Data Sheet'!H69</f>
        <v>44724.34</v>
      </c>
      <c r="I19">
        <f>'Data Sheet'!I69</f>
        <v>45498.6</v>
      </c>
      <c r="J19">
        <f>'Data Sheet'!J69</f>
        <v>41824.47</v>
      </c>
      <c r="K19">
        <f>'Data Sheet'!K69</f>
        <v>69884.66</v>
      </c>
    </row>
    <row r="20" spans="1:11" x14ac:dyDescent="0.3">
      <c r="A20" t="s">
        <v>46</v>
      </c>
      <c r="B20" s="4">
        <f>IF('Profit &amp; Loss'!B4&gt;0,'Balance Sheet'!B17/('Profit &amp; Loss'!B4/365),0)</f>
        <v>0</v>
      </c>
      <c r="C20" s="4">
        <f>IF('Profit &amp; Loss'!C4&gt;0,'Balance Sheet'!C17/('Profit &amp; Loss'!C4/365),0)</f>
        <v>0</v>
      </c>
      <c r="D20" s="4">
        <f>IF('Profit &amp; Loss'!D4&gt;0,'Balance Sheet'!D17/('Profit &amp; Loss'!D4/365),0)</f>
        <v>0</v>
      </c>
      <c r="E20" s="4">
        <f>IF('Profit &amp; Loss'!E4&gt;0,'Balance Sheet'!E17/('Profit &amp; Loss'!E4/365),0)</f>
        <v>0</v>
      </c>
      <c r="F20" s="4">
        <f>IF('Profit &amp; Loss'!F4&gt;0,'Balance Sheet'!F17/('Profit &amp; Loss'!F4/365),0)</f>
        <v>0</v>
      </c>
      <c r="G20" s="4">
        <f>IF('Profit &amp; Loss'!G4&gt;0,'Balance Sheet'!G17/('Profit &amp; Loss'!G4/365),0)</f>
        <v>0</v>
      </c>
      <c r="H20" s="4">
        <f>IF('Profit &amp; Loss'!H4&gt;0,'Balance Sheet'!H17/('Profit &amp; Loss'!H4/365),0)</f>
        <v>0</v>
      </c>
      <c r="I20" s="4">
        <f>IF('Profit &amp; Loss'!I4&gt;0,'Balance Sheet'!I17/('Profit &amp; Loss'!I4/365),0)</f>
        <v>0</v>
      </c>
      <c r="J20" s="4">
        <f>IF('Profit &amp; Loss'!J4&gt;0,'Balance Sheet'!J17/('Profit &amp; Loss'!J4/365),0)</f>
        <v>0</v>
      </c>
      <c r="K20" s="4">
        <f>IF('Profit &amp; Loss'!K4&gt;0,'Balance Sheet'!K17/('Profit &amp; Loss'!K4/365),0)</f>
        <v>0</v>
      </c>
    </row>
    <row r="21" spans="1:11" x14ac:dyDescent="0.3">
      <c r="A21" t="s">
        <v>47</v>
      </c>
      <c r="B21" s="4">
        <f>IF('Balance Sheet'!B18&gt;0,'Profit &amp; Loss'!B4/'Balance Sheet'!B18,0)</f>
        <v>0</v>
      </c>
      <c r="C21" s="4">
        <f>IF('Balance Sheet'!C18&gt;0,'Profit &amp; Loss'!C4/'Balance Sheet'!C18,0)</f>
        <v>0</v>
      </c>
      <c r="D21" s="4">
        <f>IF('Balance Sheet'!D18&gt;0,'Profit &amp; Loss'!D4/'Balance Sheet'!D18,0)</f>
        <v>0</v>
      </c>
      <c r="E21" s="4">
        <f>IF('Balance Sheet'!E18&gt;0,'Profit &amp; Loss'!E4/'Balance Sheet'!E18,0)</f>
        <v>0</v>
      </c>
      <c r="F21" s="4">
        <f>IF('Balance Sheet'!F18&gt;0,'Profit &amp; Loss'!F4/'Balance Sheet'!F18,0)</f>
        <v>0</v>
      </c>
      <c r="G21" s="4">
        <f>IF('Balance Sheet'!G18&gt;0,'Profit &amp; Loss'!G4/'Balance Sheet'!G18,0)</f>
        <v>0</v>
      </c>
      <c r="H21" s="4">
        <f>IF('Balance Sheet'!H18&gt;0,'Profit &amp; Loss'!H4/'Balance Sheet'!H18,0)</f>
        <v>0</v>
      </c>
      <c r="I21" s="4">
        <f>IF('Balance Sheet'!I18&gt;0,'Profit &amp; Loss'!I4/'Balance Sheet'!I18,0)</f>
        <v>0</v>
      </c>
      <c r="J21" s="4">
        <f>IF('Balance Sheet'!J18&gt;0,'Profit &amp; Loss'!J4/'Balance Sheet'!J18,0)</f>
        <v>0</v>
      </c>
      <c r="K21" s="4">
        <f>IF('Balance Sheet'!K18&gt;0,'Profit &amp; Loss'!K4/'Balance Sheet'!K18,0)</f>
        <v>0</v>
      </c>
    </row>
    <row r="23" spans="1:11" s="2" customFormat="1" x14ac:dyDescent="0.3">
      <c r="A23" s="2" t="s">
        <v>50</v>
      </c>
      <c r="B23" s="10" t="str">
        <f>IF(SUM('Balance Sheet'!B4:B5)&gt;0,'Profit &amp; Loss'!B12/SUM('Balance Sheet'!B4:B5),"")</f>
        <v/>
      </c>
      <c r="C23" s="10" t="str">
        <f>IF(SUM('Balance Sheet'!C4:C5)&gt;0,'Profit &amp; Loss'!C12/SUM('Balance Sheet'!C4:C5),"")</f>
        <v/>
      </c>
      <c r="D23" s="10" t="str">
        <f>IF(SUM('Balance Sheet'!D4:D5)&gt;0,'Profit &amp; Loss'!D12/SUM('Balance Sheet'!D4:D5),"")</f>
        <v/>
      </c>
      <c r="E23" s="10">
        <f>IF(SUM('Balance Sheet'!E4:E5)&gt;0,'Profit &amp; Loss'!E12/SUM('Balance Sheet'!E4:E5),"")</f>
        <v>3.2450010498104169</v>
      </c>
      <c r="F23" s="10">
        <f>IF(SUM('Balance Sheet'!F4:F5)&gt;0,'Profit &amp; Loss'!F12/SUM('Balance Sheet'!F4:F5),"")</f>
        <v>2.7055288821456731</v>
      </c>
      <c r="G23" s="10">
        <f>IF(SUM('Balance Sheet'!G4:G5)&gt;0,'Profit &amp; Loss'!G12/SUM('Balance Sheet'!G4:G5),"")</f>
        <v>0.43203848941817002</v>
      </c>
      <c r="H23" s="10">
        <f>IF(SUM('Balance Sheet'!H4:H5)&gt;0,'Profit &amp; Loss'!H12/SUM('Balance Sheet'!H4:H5),"")</f>
        <v>0.36378461378351135</v>
      </c>
      <c r="I23" s="10">
        <f>IF(SUM('Balance Sheet'!I4:I5)&gt;0,'Profit &amp; Loss'!I12/SUM('Balance Sheet'!I4:I5),"")</f>
        <v>0.778594320447768</v>
      </c>
      <c r="J23" s="10">
        <f>IF(SUM('Balance Sheet'!J4:J5)&gt;0,'Profit &amp; Loss'!J12/SUM('Balance Sheet'!J4:J5),"")</f>
        <v>0.49447006273469923</v>
      </c>
      <c r="K23" s="10">
        <f>IF(SUM('Balance Sheet'!K4:K5)&gt;0,'Profit &amp; Loss'!K12/SUM('Balance Sheet'!K4:K5),"")</f>
        <v>0.37979801203193775</v>
      </c>
    </row>
    <row r="24" spans="1:11" s="2" customFormat="1" x14ac:dyDescent="0.3">
      <c r="A24" s="2" t="s">
        <v>51</v>
      </c>
      <c r="B24" s="10"/>
      <c r="C24" s="10" t="str">
        <f>IF((B4+B5+B6+C4+C5+C6)&gt;0,('Profit &amp; Loss'!C10+'Profit &amp; Loss'!C9)*2/(B4+B5+B6+C4+C5+C6),"")</f>
        <v/>
      </c>
      <c r="D24" s="10" t="str">
        <f>IF((C4+C5+C6+D4+D5+D6)&gt;0,('Profit &amp; Loss'!D10+'Profit &amp; Loss'!D9)*2/(C4+C5+C6+D4+D5+D6),"")</f>
        <v/>
      </c>
      <c r="E24" s="10">
        <f>IF((D4+D5+D6+E4+E5+E6)&gt;0,('Profit &amp; Loss'!E10+'Profit &amp; Loss'!E9)*2/(D4+D5+D6+E4+E5+E6),"")</f>
        <v>6.0687034582364324E-2</v>
      </c>
      <c r="F24" s="10">
        <f>IF((E4+E5+E6+F4+F5+F6)&gt;0,('Profit &amp; Loss'!F10+'Profit &amp; Loss'!F9)*2/(E4+E5+E6+F4+F5+F6),"")</f>
        <v>5.1633269205073259E-2</v>
      </c>
      <c r="G24" s="10">
        <f>IF((F4+F5+F6+G4+G5+G6)&gt;0,('Profit &amp; Loss'!G10+'Profit &amp; Loss'!G9)*2/(F4+F5+F6+G4+G5+G6),"")</f>
        <v>9.3002122018696537E-2</v>
      </c>
      <c r="H24" s="10">
        <f>IF((G4+G5+G6+H4+H5+H6)&gt;0,('Profit &amp; Loss'!H10+'Profit &amp; Loss'!H9)*2/(G4+G5+G6+H4+H5+H6),"")</f>
        <v>1.331837039686711</v>
      </c>
      <c r="I24" s="10">
        <f>IF((H4+H5+H6+I4+I5+I6)&gt;0,('Profit &amp; Loss'!I10+'Profit &amp; Loss'!I9)*2/(H4+H5+H6+I4+I5+I6),"")</f>
        <v>1.443061434376036</v>
      </c>
      <c r="J24" s="10">
        <f>IF((I4+I5+I6+J4+J5+J6)&gt;0,('Profit &amp; Loss'!J10+'Profit &amp; Loss'!J9)*2/(I4+I5+I6+J4+J5+J6),"")</f>
        <v>0.73098953370506103</v>
      </c>
      <c r="K24" s="10">
        <f>IF((J4+J5+J6+K4+K5+K6)&gt;0,('Profit &amp; Loss'!K10+'Profit &amp; Loss'!K9)*2/(J4+J5+J6+K4+K5+K6),"")</f>
        <v>0.5359417166628766</v>
      </c>
    </row>
    <row r="25" spans="1:11" x14ac:dyDescent="0.3">
      <c r="A25" t="s">
        <v>96</v>
      </c>
      <c r="E25" s="21">
        <f>(E6/(E4+E5))</f>
        <v>332.72888954759344</v>
      </c>
      <c r="F25" s="21">
        <f t="shared" ref="F25:K25" si="1">(F6/(F4+F5))</f>
        <v>252.95070021859996</v>
      </c>
      <c r="G25" s="21">
        <f t="shared" si="1"/>
        <v>5.3312260221935882E-4</v>
      </c>
      <c r="H25" s="21">
        <f t="shared" si="1"/>
        <v>1.1377336874125202E-4</v>
      </c>
      <c r="I25" s="21">
        <f t="shared" si="1"/>
        <v>0</v>
      </c>
      <c r="J25" s="21">
        <f t="shared" si="1"/>
        <v>0</v>
      </c>
      <c r="K25" s="21">
        <f t="shared" si="1"/>
        <v>7.7814044711950085E-6</v>
      </c>
    </row>
    <row r="27" spans="1:11" x14ac:dyDescent="0.3">
      <c r="A27" t="s">
        <v>127</v>
      </c>
      <c r="E27" s="24">
        <f>'Balance Sheet'!E4+'Balance Sheet'!E5+'Balance Sheet'!E6</f>
        <v>270210.26999999996</v>
      </c>
      <c r="F27" s="24">
        <f>'Balance Sheet'!F4+'Balance Sheet'!F5+'Balance Sheet'!F6</f>
        <v>254415.43</v>
      </c>
      <c r="G27" s="24">
        <f>'Balance Sheet'!G4+'Balance Sheet'!G5+'Balance Sheet'!G6</f>
        <v>6887.64</v>
      </c>
      <c r="H27" s="24">
        <f>'Balance Sheet'!H4+'Balance Sheet'!H5+'Balance Sheet'!H6</f>
        <v>11339.62</v>
      </c>
      <c r="I27" s="24">
        <f>'Balance Sheet'!I4+'Balance Sheet'!I5+'Balance Sheet'!I6</f>
        <v>46232.87</v>
      </c>
      <c r="J27" s="24">
        <f>'Balance Sheet'!J4+'Balance Sheet'!J5+'Balance Sheet'!J6</f>
        <v>82746.87</v>
      </c>
      <c r="K27" s="24">
        <f>'Balance Sheet'!K4+'Balance Sheet'!K5+'Balance Sheet'!K6</f>
        <v>127227.38</v>
      </c>
    </row>
    <row r="28" spans="1:11" x14ac:dyDescent="0.3">
      <c r="A28" t="s">
        <v>128</v>
      </c>
      <c r="E28" s="24">
        <f>'Profit &amp; Loss'!E10+'Profit &amp; Loss'!E9</f>
        <v>8199.1299999999992</v>
      </c>
      <c r="F28" s="24">
        <f>'Profit &amp; Loss'!F10+'Profit &amp; Loss'!F9</f>
        <v>13544.07</v>
      </c>
      <c r="G28" s="24">
        <f>'Profit &amp; Loss'!G10+'Profit &amp; Loss'!G9</f>
        <v>12150.87</v>
      </c>
      <c r="H28" s="24">
        <f>'Profit &amp; Loss'!H10+'Profit &amp; Loss'!H9</f>
        <v>12137.87</v>
      </c>
      <c r="I28" s="24">
        <f>'Profit &amp; Loss'!I10+'Profit &amp; Loss'!I9</f>
        <v>41540.32</v>
      </c>
      <c r="J28" s="24">
        <f>'Profit &amp; Loss'!J10+'Profit &amp; Loss'!J9</f>
        <v>47141.42</v>
      </c>
      <c r="K28" s="24">
        <f>'Profit &amp; Loss'!K10+'Profit &amp; Loss'!K9</f>
        <v>56266.98</v>
      </c>
    </row>
    <row r="29" spans="1:11" x14ac:dyDescent="0.3">
      <c r="A29" t="s">
        <v>129</v>
      </c>
      <c r="E29" s="72">
        <f>E28/E27</f>
        <v>3.0343517291182162E-2</v>
      </c>
      <c r="F29" s="72">
        <f t="shared" ref="F29:K29" si="2">F28/F27</f>
        <v>5.3236039968173311E-2</v>
      </c>
      <c r="G29" s="72">
        <f t="shared" si="2"/>
        <v>1.7641557921145705</v>
      </c>
      <c r="H29" s="72">
        <f t="shared" si="2"/>
        <v>1.0703947751335583</v>
      </c>
      <c r="I29" s="72">
        <f t="shared" si="2"/>
        <v>0.89850186674545618</v>
      </c>
      <c r="J29" s="72">
        <f t="shared" si="2"/>
        <v>0.56970638285170183</v>
      </c>
      <c r="K29" s="72">
        <f t="shared" si="2"/>
        <v>0.44225527555468014</v>
      </c>
    </row>
    <row r="31" spans="1:11" x14ac:dyDescent="0.3">
      <c r="A31" t="s">
        <v>130</v>
      </c>
      <c r="E31" s="24">
        <f>E4+E5</f>
        <v>809.67</v>
      </c>
      <c r="F31" s="24">
        <f t="shared" ref="F31:K31" si="3">F4+F5</f>
        <v>1001.83</v>
      </c>
      <c r="G31" s="24">
        <f t="shared" si="3"/>
        <v>6883.97</v>
      </c>
      <c r="H31" s="24">
        <f t="shared" si="3"/>
        <v>11338.33</v>
      </c>
      <c r="I31" s="24">
        <f t="shared" si="3"/>
        <v>46232.87</v>
      </c>
      <c r="J31" s="24">
        <f t="shared" si="3"/>
        <v>82746.87</v>
      </c>
      <c r="K31" s="24">
        <f t="shared" si="3"/>
        <v>127226.39</v>
      </c>
    </row>
    <row r="32" spans="1:11" x14ac:dyDescent="0.3">
      <c r="A32" t="s">
        <v>131</v>
      </c>
      <c r="E32" s="72">
        <f>'Profit &amp; Loss'!E12/'Balance Sheet'!E31</f>
        <v>3.2450010498104169</v>
      </c>
      <c r="F32" s="72">
        <f>'Profit &amp; Loss'!F12/'Balance Sheet'!F31</f>
        <v>2.7055288821456731</v>
      </c>
      <c r="G32" s="72">
        <f>'Profit &amp; Loss'!G12/'Balance Sheet'!G31</f>
        <v>0.43203848941817002</v>
      </c>
      <c r="H32" s="72">
        <f>'Profit &amp; Loss'!H12/'Balance Sheet'!H31</f>
        <v>0.36378461378351135</v>
      </c>
      <c r="I32" s="72">
        <f>'Profit &amp; Loss'!I12/'Balance Sheet'!I31</f>
        <v>0.778594320447768</v>
      </c>
      <c r="J32" s="72">
        <f>'Profit &amp; Loss'!J12/'Balance Sheet'!J31</f>
        <v>0.49447006273469923</v>
      </c>
      <c r="K32" s="72">
        <f>'Profit &amp; Loss'!K12/'Balance Sheet'!K31</f>
        <v>0.37979801203193775</v>
      </c>
    </row>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19"/>
  <sheetViews>
    <sheetView zoomScale="150" zoomScaleNormal="150" zoomScalePageLayoutView="150" workbookViewId="0">
      <pane xSplit="1" ySplit="3" topLeftCell="H4" activePane="bottomRight" state="frozen"/>
      <selection pane="topRight" activeCell="B1" sqref="B1"/>
      <selection pane="bottomLeft" activeCell="A4" sqref="A4"/>
      <selection pane="bottomRight" activeCell="K14" sqref="K14"/>
    </sheetView>
  </sheetViews>
  <sheetFormatPr defaultColWidth="8.77734375" defaultRowHeight="14.4" x14ac:dyDescent="0.3"/>
  <cols>
    <col min="1" max="1" width="26.77734375" bestFit="1" customWidth="1"/>
    <col min="2" max="6" width="13.44140625" customWidth="1"/>
    <col min="7" max="11" width="13.44140625" bestFit="1" customWidth="1"/>
  </cols>
  <sheetData>
    <row r="1" spans="1:11" s="2" customFormat="1" x14ac:dyDescent="0.3">
      <c r="A1" s="2" t="str">
        <f>'Balance Sheet'!A1</f>
        <v>LIFE INSURANCE CORPORATION OF INDIA</v>
      </c>
      <c r="E1" t="str">
        <f>UPDATE</f>
        <v/>
      </c>
      <c r="F1"/>
      <c r="J1" s="2" t="s">
        <v>1</v>
      </c>
    </row>
    <row r="3" spans="1:11" s="2" customFormat="1" x14ac:dyDescent="0.3">
      <c r="A3" s="11" t="s">
        <v>2</v>
      </c>
      <c r="B3" s="12">
        <f>'Data Sheet'!B81</f>
        <v>0</v>
      </c>
      <c r="C3" s="12">
        <f>'Data Sheet'!C81</f>
        <v>0</v>
      </c>
      <c r="D3" s="12">
        <f>'Data Sheet'!D81</f>
        <v>0</v>
      </c>
      <c r="E3" s="12">
        <f>'Data Sheet'!E81</f>
        <v>43555</v>
      </c>
      <c r="F3" s="12">
        <f>'Data Sheet'!F81</f>
        <v>43921</v>
      </c>
      <c r="G3" s="12">
        <f>'Data Sheet'!G81</f>
        <v>44286</v>
      </c>
      <c r="H3" s="12">
        <f>'Data Sheet'!H81</f>
        <v>44651</v>
      </c>
      <c r="I3" s="12">
        <f>'Data Sheet'!I81</f>
        <v>45016</v>
      </c>
      <c r="J3" s="12">
        <f>'Data Sheet'!J81</f>
        <v>45382</v>
      </c>
      <c r="K3" s="12">
        <f>'Data Sheet'!K81</f>
        <v>45747</v>
      </c>
    </row>
    <row r="4" spans="1:11" s="2" customFormat="1" x14ac:dyDescent="0.3">
      <c r="A4" s="2" t="s">
        <v>32</v>
      </c>
      <c r="B4" s="1">
        <f>'Data Sheet'!B82</f>
        <v>0</v>
      </c>
      <c r="C4" s="1">
        <f>'Data Sheet'!C82</f>
        <v>0</v>
      </c>
      <c r="D4" s="1">
        <f>'Data Sheet'!D82</f>
        <v>0</v>
      </c>
      <c r="E4" s="1">
        <f>'Data Sheet'!E82</f>
        <v>13273.81</v>
      </c>
      <c r="F4" s="1">
        <f>'Data Sheet'!F82</f>
        <v>54366.92</v>
      </c>
      <c r="G4" s="1">
        <f>'Data Sheet'!G82</f>
        <v>80602.039999999994</v>
      </c>
      <c r="H4" s="1">
        <f>'Data Sheet'!H82</f>
        <v>-3782.54</v>
      </c>
      <c r="I4" s="1">
        <f>'Data Sheet'!I82</f>
        <v>54518.51</v>
      </c>
      <c r="J4" s="1">
        <f>'Data Sheet'!J82</f>
        <v>26121.65</v>
      </c>
      <c r="K4" s="1">
        <f>'Data Sheet'!K82</f>
        <v>-9144.77</v>
      </c>
    </row>
    <row r="5" spans="1:11" x14ac:dyDescent="0.3">
      <c r="A5" t="s">
        <v>33</v>
      </c>
      <c r="B5" s="6">
        <f>'Data Sheet'!B83</f>
        <v>0</v>
      </c>
      <c r="C5" s="6">
        <f>'Data Sheet'!C83</f>
        <v>0</v>
      </c>
      <c r="D5" s="6">
        <f>'Data Sheet'!D83</f>
        <v>0</v>
      </c>
      <c r="E5" s="6">
        <f>'Data Sheet'!E83</f>
        <v>9636.27</v>
      </c>
      <c r="F5" s="6">
        <f>'Data Sheet'!F83</f>
        <v>-40414.800000000003</v>
      </c>
      <c r="G5" s="6">
        <f>'Data Sheet'!G83</f>
        <v>148446.76999999999</v>
      </c>
      <c r="H5" s="6">
        <f>'Data Sheet'!H83</f>
        <v>12530.9</v>
      </c>
      <c r="I5" s="6">
        <f>'Data Sheet'!I83</f>
        <v>-52847.83</v>
      </c>
      <c r="J5" s="6">
        <f>'Data Sheet'!J83</f>
        <v>-25268.76</v>
      </c>
      <c r="K5" s="6">
        <f>'Data Sheet'!K83</f>
        <v>40423.43</v>
      </c>
    </row>
    <row r="6" spans="1:11" x14ac:dyDescent="0.3">
      <c r="A6" t="s">
        <v>34</v>
      </c>
      <c r="B6" s="6">
        <f>'Data Sheet'!B84</f>
        <v>0</v>
      </c>
      <c r="C6" s="6">
        <f>'Data Sheet'!C84</f>
        <v>0</v>
      </c>
      <c r="D6" s="6">
        <f>'Data Sheet'!D84</f>
        <v>0</v>
      </c>
      <c r="E6" s="6">
        <f>'Data Sheet'!E84</f>
        <v>-13699.58</v>
      </c>
      <c r="F6" s="6">
        <f>'Data Sheet'!F84</f>
        <v>-18663.740000000002</v>
      </c>
      <c r="G6" s="6">
        <f>'Data Sheet'!G84</f>
        <v>-256125.47</v>
      </c>
      <c r="H6" s="6">
        <f>'Data Sheet'!H84</f>
        <v>0</v>
      </c>
      <c r="I6" s="6">
        <f>'Data Sheet'!I84</f>
        <v>-948.59</v>
      </c>
      <c r="J6" s="6">
        <f>'Data Sheet'!J84</f>
        <v>-4427.2</v>
      </c>
      <c r="K6" s="6">
        <f>'Data Sheet'!K84</f>
        <v>-3794.28</v>
      </c>
    </row>
    <row r="7" spans="1:11" s="2" customFormat="1" x14ac:dyDescent="0.3">
      <c r="A7" s="2" t="s">
        <v>35</v>
      </c>
      <c r="B7" s="1">
        <f>'Data Sheet'!B85</f>
        <v>0</v>
      </c>
      <c r="C7" s="1">
        <f>'Data Sheet'!C85</f>
        <v>0</v>
      </c>
      <c r="D7" s="1">
        <f>'Data Sheet'!D85</f>
        <v>0</v>
      </c>
      <c r="E7" s="1">
        <f>'Data Sheet'!E85</f>
        <v>9210.5</v>
      </c>
      <c r="F7" s="1">
        <f>'Data Sheet'!F85</f>
        <v>-4711.62</v>
      </c>
      <c r="G7" s="1">
        <f>'Data Sheet'!G85</f>
        <v>-27076.66</v>
      </c>
      <c r="H7" s="1">
        <f>'Data Sheet'!H85</f>
        <v>8748.3700000000008</v>
      </c>
      <c r="I7" s="1">
        <f>'Data Sheet'!I85</f>
        <v>722.09</v>
      </c>
      <c r="J7" s="1">
        <f>'Data Sheet'!J85</f>
        <v>-3574.31</v>
      </c>
      <c r="K7" s="1">
        <f>'Data Sheet'!K85</f>
        <v>27484.38</v>
      </c>
    </row>
    <row r="8" spans="1:11" x14ac:dyDescent="0.3">
      <c r="B8" s="6"/>
      <c r="C8" s="6"/>
      <c r="D8" s="6"/>
      <c r="E8" s="6"/>
      <c r="F8" s="6"/>
      <c r="G8" s="6"/>
      <c r="H8" s="6"/>
      <c r="I8" s="6"/>
      <c r="J8" s="6"/>
      <c r="K8" s="6"/>
    </row>
    <row r="9" spans="1:11" x14ac:dyDescent="0.3">
      <c r="A9" t="s">
        <v>117</v>
      </c>
      <c r="E9" s="72">
        <f>(F4/E4)-1</f>
        <v>3.0958036916303611</v>
      </c>
      <c r="F9" s="72">
        <f t="shared" ref="F9:K9" si="0">(G4/F4)-1</f>
        <v>0.48255667232942367</v>
      </c>
      <c r="G9" s="72">
        <f t="shared" si="0"/>
        <v>-1.0469285889042015</v>
      </c>
      <c r="H9" s="72">
        <f t="shared" si="0"/>
        <v>-15.413201182274346</v>
      </c>
      <c r="I9" s="72">
        <f t="shared" si="0"/>
        <v>-0.52086639932015744</v>
      </c>
      <c r="J9" s="72">
        <f t="shared" si="0"/>
        <v>-1.3500839342078315</v>
      </c>
      <c r="K9" s="72">
        <f t="shared" si="0"/>
        <v>-1</v>
      </c>
    </row>
    <row r="10" spans="1:11" x14ac:dyDescent="0.3">
      <c r="A10" t="s">
        <v>118</v>
      </c>
      <c r="E10" s="72">
        <f>E4/'Profit &amp; Loss'!E4</f>
        <v>2.3225942345645879E-2</v>
      </c>
      <c r="F10" s="72">
        <f>F4/'Profit &amp; Loss'!F4</f>
        <v>8.6565630345027914E-2</v>
      </c>
      <c r="G10" s="72">
        <f>G4/'Profit &amp; Loss'!G4</f>
        <v>0.11666004717259748</v>
      </c>
      <c r="H10" s="72">
        <f>H4/'Profit &amp; Loss'!H4</f>
        <v>-5.2273453841867514E-3</v>
      </c>
      <c r="I10" s="72">
        <f>I4/'Profit &amp; Loss'!I4</f>
        <v>6.9483289302894186E-2</v>
      </c>
      <c r="J10" s="72">
        <f>J4/'Profit &amp; Loss'!J4</f>
        <v>3.087788229690502E-2</v>
      </c>
      <c r="K10" s="72">
        <f>K4/'Profit &amp; Loss'!K4</f>
        <v>-1.0275368601742338E-2</v>
      </c>
    </row>
    <row r="11" spans="1:11" x14ac:dyDescent="0.3">
      <c r="A11" t="s">
        <v>119</v>
      </c>
      <c r="E11" s="72">
        <f>E4/'Profit &amp; Loss'!E12</f>
        <v>5.0521089450326935</v>
      </c>
      <c r="F11" s="72">
        <f>F4/'Profit &amp; Loss'!F12</f>
        <v>20.058041380124553</v>
      </c>
      <c r="G11" s="72">
        <f>G4/'Profit &amp; Loss'!G12</f>
        <v>27.100956915276349</v>
      </c>
      <c r="H11" s="72">
        <f>H4/'Profit &amp; Loss'!H12</f>
        <v>-0.91704386490201739</v>
      </c>
      <c r="I11" s="72">
        <f>I4/'Profit &amp; Loss'!I12</f>
        <v>1.5145439922881712</v>
      </c>
      <c r="J11" s="72">
        <f>J4/'Profit &amp; Loss'!J12</f>
        <v>0.63842374043310846</v>
      </c>
      <c r="K11" s="72">
        <f>K4/'Profit &amp; Loss'!K12</f>
        <v>-0.18925305352840099</v>
      </c>
    </row>
    <row r="12" spans="1:11" x14ac:dyDescent="0.3">
      <c r="A12" t="s">
        <v>116</v>
      </c>
      <c r="E12">
        <v>1992.365</v>
      </c>
      <c r="F12">
        <v>920.33500000000004</v>
      </c>
      <c r="G12">
        <v>-6162.9275000000007</v>
      </c>
      <c r="H12">
        <v>96.653599999999983</v>
      </c>
      <c r="I12">
        <v>542.11</v>
      </c>
      <c r="J12">
        <v>712.72</v>
      </c>
      <c r="K12">
        <v>714.79000000000008</v>
      </c>
    </row>
    <row r="13" spans="1:11" x14ac:dyDescent="0.3">
      <c r="A13" t="s">
        <v>120</v>
      </c>
      <c r="E13" s="24">
        <f>E4-E12</f>
        <v>11281.445</v>
      </c>
      <c r="F13" s="24">
        <f t="shared" ref="F13:K13" si="1">F4-F12</f>
        <v>53446.584999999999</v>
      </c>
      <c r="G13" s="24">
        <f t="shared" si="1"/>
        <v>86764.967499999999</v>
      </c>
      <c r="H13" s="24">
        <f t="shared" si="1"/>
        <v>-3879.1936000000001</v>
      </c>
      <c r="I13" s="24">
        <f t="shared" si="1"/>
        <v>53976.4</v>
      </c>
      <c r="J13" s="24">
        <f t="shared" si="1"/>
        <v>25408.93</v>
      </c>
      <c r="K13" s="24">
        <f t="shared" si="1"/>
        <v>-9859.5600000000013</v>
      </c>
    </row>
    <row r="14" spans="1:11" x14ac:dyDescent="0.3">
      <c r="A14" t="s">
        <v>121</v>
      </c>
      <c r="K14" s="24">
        <f>AVERAGE(G13:K13)</f>
        <v>30482.308779999999</v>
      </c>
    </row>
    <row r="15" spans="1:11" x14ac:dyDescent="0.3">
      <c r="A15" t="s">
        <v>122</v>
      </c>
      <c r="K15" s="24">
        <f>AVERAGE(E13:K13)</f>
        <v>31019.939128571426</v>
      </c>
    </row>
    <row r="16" spans="1:11" x14ac:dyDescent="0.3">
      <c r="A16" t="s">
        <v>123</v>
      </c>
      <c r="F16" s="72">
        <f>(F13/E13)-1</f>
        <v>3.7375655334932718</v>
      </c>
      <c r="G16" s="72">
        <f t="shared" ref="G16:K16" si="2">(G13/F13)-1</f>
        <v>0.62339591014093787</v>
      </c>
      <c r="H16" s="72">
        <f t="shared" si="2"/>
        <v>-1.0447092151564512</v>
      </c>
      <c r="I16" s="72">
        <f t="shared" si="2"/>
        <v>-14.914335185539592</v>
      </c>
      <c r="J16" s="72">
        <f t="shared" si="2"/>
        <v>-0.52925852780103899</v>
      </c>
      <c r="K16" s="72">
        <f t="shared" si="2"/>
        <v>-1.3880352301336578</v>
      </c>
    </row>
    <row r="17" spans="1:11" x14ac:dyDescent="0.3">
      <c r="A17" t="s">
        <v>124</v>
      </c>
      <c r="E17" s="72">
        <f>E13/'Profit &amp; Loss'!E4</f>
        <v>1.9739787683082325E-2</v>
      </c>
      <c r="F17" s="72">
        <f>F13/'Profit &amp; Loss'!F4</f>
        <v>8.5100228600665878E-2</v>
      </c>
      <c r="G17" s="72">
        <f>G13/'Profit &amp; Loss'!G4</f>
        <v>0.12558001263341334</v>
      </c>
      <c r="H17" s="72">
        <f>H13/'Profit &amp; Loss'!H4</f>
        <v>-5.360917467978339E-3</v>
      </c>
      <c r="I17" s="72">
        <f>I13/'Profit &amp; Loss'!I4</f>
        <v>6.8792375593697219E-2</v>
      </c>
      <c r="J17" s="72">
        <f>J13/'Profit &amp; Loss'!J4</f>
        <v>3.0035390177507885E-2</v>
      </c>
      <c r="K17" s="72">
        <f>K13/'Profit &amp; Loss'!K4</f>
        <v>-1.1078530488027002E-2</v>
      </c>
    </row>
    <row r="18" spans="1:11" x14ac:dyDescent="0.3">
      <c r="A18" t="s">
        <v>125</v>
      </c>
      <c r="E18" s="72">
        <f>E13/'Profit &amp; Loss'!E12</f>
        <v>4.2938002877391162</v>
      </c>
      <c r="F18" s="72">
        <f>F13/'Profit &amp; Loss'!F12</f>
        <v>19.718494510197456</v>
      </c>
      <c r="G18" s="72">
        <f>G13/'Profit &amp; Loss'!G12</f>
        <v>29.173128198403575</v>
      </c>
      <c r="H18" s="72">
        <f>H13/'Profit &amp; Loss'!H12</f>
        <v>-0.9404766880580695</v>
      </c>
      <c r="I18" s="72">
        <f>I13/'Profit &amp; Loss'!I12</f>
        <v>1.4994839797592276</v>
      </c>
      <c r="J18" s="72">
        <f>J13/'Profit &amp; Loss'!J12</f>
        <v>0.62100457402204767</v>
      </c>
      <c r="K18" s="72">
        <f>K13/'Profit &amp; Loss'!K12</f>
        <v>-0.2040457919058086</v>
      </c>
    </row>
    <row r="19" spans="1:11" x14ac:dyDescent="0.3">
      <c r="A19" t="s">
        <v>126</v>
      </c>
      <c r="E19" s="28">
        <f>'Balance Sheet'!E6/'Cash Flow'!E13</f>
        <v>23.879972822630432</v>
      </c>
      <c r="F19" s="28">
        <f>'Balance Sheet'!F6/'Cash Flow'!F13</f>
        <v>4.741436707321899</v>
      </c>
      <c r="G19" s="28">
        <f>'Balance Sheet'!G6/'Cash Flow'!G13</f>
        <v>4.2298177544986688E-5</v>
      </c>
      <c r="H19" s="28">
        <f>'Balance Sheet'!H6/'Cash Flow'!H13</f>
        <v>-3.3254334096653493E-4</v>
      </c>
      <c r="I19" s="28">
        <f>'Balance Sheet'!I6/'Cash Flow'!I13</f>
        <v>0</v>
      </c>
      <c r="J19" s="28">
        <f>'Balance Sheet'!J6/'Cash Flow'!J13</f>
        <v>0</v>
      </c>
      <c r="K19" s="28">
        <f>'Balance Sheet'!K6/'Cash Flow'!K13</f>
        <v>-1.0041016029112859E-4</v>
      </c>
    </row>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Intrinsic Values</vt:lpstr>
      <vt:lpstr>FCFE (H) </vt:lpstr>
      <vt:lpstr>FCFE(L)</vt:lpstr>
      <vt:lpstr>DCF </vt:lpstr>
      <vt:lpstr>Ben Graham </vt:lpstr>
      <vt:lpstr>Profit and loss Detailed-BRT </vt:lpstr>
      <vt:lpstr>CashFlow consolidated</vt:lpstr>
      <vt:lpstr>Basic Sheet</vt:lpstr>
      <vt:lpstr>Dhandho model</vt:lpstr>
      <vt:lpstr>FBTA - TMV - CMMM</vt:lpstr>
      <vt:lpstr>Expected Returns Model</vt:lpstr>
      <vt:lpstr>Data Sheet</vt:lpstr>
      <vt:lpstr>Quarters</vt:lpstr>
      <vt:lpstr>Profit &amp; Loss</vt:lpstr>
      <vt:lpstr>Balance Sheet</vt:lpstr>
      <vt:lpstr>Cash Flow</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suraj shikalgar</cp:lastModifiedBy>
  <cp:lastPrinted>2026-02-01T05:49:41Z</cp:lastPrinted>
  <dcterms:created xsi:type="dcterms:W3CDTF">2012-08-17T09:55:37Z</dcterms:created>
  <dcterms:modified xsi:type="dcterms:W3CDTF">2026-06-01T03:02:09Z</dcterms:modified>
</cp:coreProperties>
</file>